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5b0bf9e1784a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1f3cccb09084d5c"/>
    <x:sheet xmlns:r="http://schemas.openxmlformats.org/officeDocument/2006/relationships" name="Rotation_Centers" sheetId="2" r:id="R0529176c712f47e0"/>
    <x:sheet xmlns:r="http://schemas.openxmlformats.org/officeDocument/2006/relationships" name="Right_Coordinates" sheetId="3" r:id="Reb04b6eca6434fe1"/>
    <x:sheet xmlns:r="http://schemas.openxmlformats.org/officeDocument/2006/relationships" name="Left_Coordinates" sheetId="4" r:id="Ra6a3985605d04a8a"/>
    <x:sheet xmlns:r="http://schemas.openxmlformats.org/officeDocument/2006/relationships" name="Right_Calculator" sheetId="5" r:id="Rbd56825a790a4cfa"/>
    <x:sheet xmlns:r="http://schemas.openxmlformats.org/officeDocument/2006/relationships" name="Left_Calculator" sheetId="6" r:id="Ree8a83eba0ae4210"/>
    <x:sheet xmlns:r="http://schemas.openxmlformats.org/officeDocument/2006/relationships" name="Right_Formula_Text" sheetId="7" r:id="R0147b9a4289c4913"/>
    <x:sheet xmlns:r="http://schemas.openxmlformats.org/officeDocument/2006/relationships" name="Left_Formula_Text" sheetId="8" r:id="R6891f8c03f614e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"/>
      <x:name val="Carlito"/>
    </x:font>
    <x:font>
      <x:b/>
      <x:sz val="11"/>
      <x:color rgb="B91C1C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3bbf3784dd4510" /><Relationship Type="http://schemas.openxmlformats.org/officeDocument/2006/relationships/theme" Target="/xl/theme/theme1.xml" Id="R8c449af5b239472b" /><Relationship Type="http://schemas.openxmlformats.org/officeDocument/2006/relationships/sharedStrings" Target="/xl/sharedStrings.xml" Id="R41d2bf0555b54b3b" /><Relationship Type="http://schemas.openxmlformats.org/officeDocument/2006/relationships/worksheet" Target="/xl/worksheets/sheet1.xml" Id="Ra1f3cccb09084d5c" /><Relationship Type="http://schemas.openxmlformats.org/officeDocument/2006/relationships/worksheet" Target="/xl/worksheets/sheet2.xml" Id="R0529176c712f47e0" /><Relationship Type="http://schemas.openxmlformats.org/officeDocument/2006/relationships/worksheet" Target="/xl/worksheets/sheet3.xml" Id="Reb04b6eca6434fe1" /><Relationship Type="http://schemas.openxmlformats.org/officeDocument/2006/relationships/worksheet" Target="/xl/worksheets/sheet4.xml" Id="Ra6a3985605d04a8a" /><Relationship Type="http://schemas.openxmlformats.org/officeDocument/2006/relationships/worksheet" Target="/xl/worksheets/sheet5.xml" Id="Rbd56825a790a4cfa" /><Relationship Type="http://schemas.openxmlformats.org/officeDocument/2006/relationships/worksheet" Target="/xl/worksheets/sheet6.xml" Id="Ree8a83eba0ae4210" /><Relationship Type="http://schemas.openxmlformats.org/officeDocument/2006/relationships/worksheet" Target="/xl/worksheets/sheet7.xml" Id="R0147b9a4289c4913" /><Relationship Type="http://schemas.openxmlformats.org/officeDocument/2006/relationships/worksheet" Target="/xl/worksheets/sheet8.xml" Id="R6891f8c03f614e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FormatPr defaultRowHeight="15"/>
  <cols>
    <col min="1" max="1" width="110" hidden="0" customWidth="1"/>
  </cols>
  <sheetData>
    <row r="1">
      <c r="A1" s="8" t="str">
        <v>Y-hand wrist formulas - combined left/right</v>
      </c>
    </row>
    <row r="2">
      <c r="A2" s="9" t="str"/>
    </row>
    <row r="3">
      <c r="A3" s="10" t="str">
        <v>重要修正</v>
      </c>
    </row>
    <row r="4">
      <c r="A4" s="9" t="inlineStr">
        <is>
          <t>左手 M3/M15 修正方式：M3 仍为食指指浅屈肌，M15 仍为食指指深屈肌；本版只交换二者的孔位几何参数/公式参数，不交换名称或电机编号。</t>
        </is>
      </c>
    </row>
    <row r="5">
      <c r="A5" s="9" t="str"/>
    </row>
    <row r="6">
      <c r="A6" s="9" t="str">
        <v>坐标系</v>
      </c>
    </row>
    <row r="7">
      <c r="A7" s="9" t="str">
        <v>X：垂直底板平面，竖直向上；Y：底板左侧到右侧；Z：底板前侧到后侧。长度单位 mm。</v>
      </c>
    </row>
    <row r="8">
      <c r="A8" s="9" t="str">
        <v>旋转中心</v>
      </c>
    </row>
    <row r="9">
      <c r="A9" s="9" t="str">
        <v>C_flex=(23.997,0,0), axis_flex=(0,1,0); C_side=(7.997,0,0), axis_side=(0,0,1)。</v>
      </c>
    </row>
    <row r="10">
      <c r="A10" s="9" t="str">
        <v>角度单位</v>
      </c>
    </row>
    <row r="11">
      <c r="A11" s="9" t="str">
        <v>Calculator sheets 输入 alpha_side_deg / beta_flex_deg 为 deg，表格内部使用 RADIANS() 转成 rad 计算 SIN/COS。Formula_Text 里的 α/β 是数学符号形式，按 rad 理解。</v>
      </c>
    </row>
    <row r="12">
      <c r="A12" s="9" t="str">
        <v>电机位置换算</v>
      </c>
    </row>
    <row r="13">
      <c r="A13" s="9" t="str">
        <v>Delta_L_mm = L(alpha,beta)-L0; Motor_Pos_deg = Delta_L_mm*360/(PI()*4)。</v>
      </c>
    </row>
  </sheetData>
  <pageMargins left="0.7" right="0.7" top="0.75" bottom="0.75" header="0.3" footer="0.3"/>
</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>
      <x:c r="A1" s="20" t="str">
        <x:v>Item</x:v>
      </x:c>
      <x:c r="B1" s="20" t="str">
        <x:v>X</x:v>
      </x:c>
      <x:c r="C1" s="20" t="str">
        <x:v>Y</x:v>
      </x:c>
      <x:c r="D1" s="20" t="str">
        <x:v>Z</x:v>
      </x:c>
      <x:c r="E1" s="20" t="str">
        <x:v>Axis_X</x:v>
      </x:c>
      <x:c r="F1" s="20" t="str">
        <x:v>Axis_Y</x:v>
      </x:c>
      <x:c r="G1" s="20" t="str">
        <x:v>Axis_Z</x:v>
      </x:c>
      <x:c r="H1" s="20" t="str">
        <x:v>Notes</x:v>
      </x:c>
    </x:row>
    <x:row r="2">
      <x:c r="A2" t="str">
        <x:v>Origin_O</x:v>
      </x:c>
      <x:c r="B2" t="n">
        <x:v>0</x:v>
      </x:c>
      <x:c r="C2" t="n">
        <x:v>0</x:v>
      </x:c>
      <x:c r="D2" t="n">
        <x:v>0</x:v>
      </x:c>
      <x:c r="E2" t="str"/>
      <x:c r="F2" t="str"/>
      <x:c r="G2" t="str"/>
      <x:c r="H2" t="str">
        <x:v>底板几何中心</x:v>
      </x:c>
    </x:row>
    <x:row r="3">
      <x:c r="A3" t="str">
        <x:v>C_flex</x:v>
      </x:c>
      <x:c r="B3" t="n">
        <x:v>23.997</x:v>
      </x:c>
      <x:c r="C3" t="n">
        <x:v>0</x:v>
      </x:c>
      <x:c r="D3" t="n">
        <x:v>0</x:v>
      </x:c>
      <x:c r="E3" t="n">
        <x:v>0</x:v>
      </x:c>
      <x:c r="F3" t="n">
        <x:v>1</x:v>
      </x:c>
      <x:c r="G3" t="n">
        <x:v>0</x:v>
      </x:c>
      <x:c r="H3" t="str">
        <x:v>弯曲中心，绕 Y 轴</x:v>
      </x:c>
    </x:row>
    <x:row r="4">
      <x:c r="A4" t="str">
        <x:v>C_side</x:v>
      </x:c>
      <x:c r="B4" t="n">
        <x:v>7.997</x:v>
      </x:c>
      <x:c r="C4" t="n">
        <x:v>0</x:v>
      </x:c>
      <x:c r="D4" t="n">
        <x:v>0</x:v>
      </x:c>
      <x:c r="E4" t="n">
        <x:v>0</x:v>
      </x:c>
      <x:c r="F4" t="n">
        <x:v>0</x:v>
      </x:c>
      <x:c r="G4" t="n">
        <x:v>1</x:v>
      </x:c>
      <x:c r="H4" t="str">
        <x:v>侧摆中心，绕 Z 轴</x:v>
      </x:c>
    </x:row>
    <x:row r="5">
      <x:c r="A5" t="str">
        <x:v>Band_hole_X</x:v>
      </x:c>
      <x:c r="B5" t="n">
        <x:v>31.007</x:v>
      </x:c>
      <x:c r="C5" t="str"/>
      <x:c r="D5" t="str"/>
      <x:c r="E5" t="str"/>
      <x:c r="F5" t="str"/>
      <x:c r="G5" t="str"/>
      <x:c r="H5" t="str">
        <x:v>腕带孔 X 坐标</x:v>
      </x:c>
    </x:row>
    <x:row r="6">
      <x:c r="A6" t="str">
        <x:v>Base_hole_X</x:v>
      </x:c>
      <x:c r="B6" t="n">
        <x:v>0</x:v>
      </x:c>
      <x:c r="C6" t="str"/>
      <x:c r="D6" t="str"/>
      <x:c r="E6" t="str"/>
      <x:c r="F6" t="str"/>
      <x:c r="G6" t="str"/>
      <x:c r="H6" t="str">
        <x:v>底板孔 X 坐标</x:v>
      </x:c>
    </x:row>
  </x:sheetData>
  <x:pageMargins left="0.7" right="0.7" top="0.75" bottom="0.75" header="0.3" footer="0.3"/>
</x:worksheet>
</file>

<file path=xl/worksheets/sheet3.xml><?xml version="1.0" encoding="utf-8"?>
<worksheet xmlns="http://schemas.openxmlformats.org/spreadsheetml/2006/main">
  <sheetFormatPr defaultRowHeight="15"/>
  <cols>
    <col min="1" max="1" width="12" hidden="0" customWidth="1"/>
    <col min="2" max="2" width="22" hidden="0" customWidth="1"/>
    <col min="3" max="3" width="14" hidden="0" customWidth="1"/>
    <col min="4" max="4" width="14" hidden="0" customWidth="1"/>
    <col min="5" max="5" width="14" hidden="0" customWidth="1"/>
    <col min="6" max="6" width="14" hidden="0" customWidth="1"/>
    <col min="7" max="7" width="14" hidden="0" customWidth="1"/>
    <col min="8" max="8" width="14" hidden="0" customWidth="1"/>
    <col min="9" max="9" width="14" hidden="0" customWidth="1"/>
    <col min="10" max="10" width="14" hidden="0" customWidth="1"/>
    <col min="11" max="11" width="14" hidden="0" customWidth="1"/>
  </cols>
  <sheetData>
    <row r="1">
      <c r="A1" s="20" t="str">
        <v>Motor_ID</v>
      </c>
      <c r="B1" s="20" t="str">
        <v>Muscle_or_Hole_Name</v>
      </c>
      <c r="C1" s="20" t="str">
        <v>Region</v>
      </c>
      <c r="D1" s="20" t="str">
        <v>Band_X</v>
      </c>
      <c r="E1" s="20" t="str">
        <v>Band_Y</v>
      </c>
      <c r="F1" s="20" t="str">
        <v>Band_Z</v>
      </c>
      <c r="G1" s="20" t="str">
        <v>Base_X</v>
      </c>
      <c r="H1" s="20" t="str">
        <v>Base_Y</v>
      </c>
      <c r="I1" s="20" t="str">
        <v>Base_Z</v>
      </c>
      <c r="J1" s="20" t="str">
        <v>Initial_L0_mm</v>
      </c>
      <c r="K1" s="20" t="str">
        <v>Correction_Note</v>
      </c>
    </row>
    <row r="2">
      <c r="A2" t="n">
        <v>17</v>
      </c>
      <c r="B2" t="str">
        <v>食指指浅屈肌</v>
      </c>
      <c r="C2" t="str">
        <v>Front</v>
      </c>
      <c r="D2" t="n">
        <v>31.007</v>
      </c>
      <c r="E2" t="n">
        <v>0</v>
      </c>
      <c r="F2" t="n">
        <v>-17.75</v>
      </c>
      <c r="G2" t="n">
        <v>0</v>
      </c>
      <c r="H2" t="n">
        <v>11.691</v>
      </c>
      <c r="I2" t="n">
        <v>-6.75</v>
      </c>
      <c r="J2" t="n">
        <v>34.91580630602707</v>
      </c>
      <c r="K2" t="str"/>
    </row>
    <row r="3">
      <c r="A3" t="n">
        <v>2</v>
      </c>
      <c r="B3" t="str">
        <v>中指指浅屈肌</v>
      </c>
      <c r="C3" t="str">
        <v>Front</v>
      </c>
      <c r="D3" t="n">
        <v>31.007</v>
      </c>
      <c r="E3" t="n">
        <v>-1.5</v>
      </c>
      <c r="F3" t="n">
        <v>-15.25</v>
      </c>
      <c r="G3" t="n">
        <v>0</v>
      </c>
      <c r="H3" t="n">
        <v>-12.697</v>
      </c>
      <c r="I3" t="n">
        <v>-8.89</v>
      </c>
      <c r="J3" t="n">
        <v>33.57464010231532</v>
      </c>
      <c r="K3" t="str"/>
    </row>
    <row r="4">
      <c r="A4" t="n">
        <v>3</v>
      </c>
      <c r="B4" t="str">
        <v>无名指屈肌</v>
      </c>
      <c r="C4" t="str">
        <v>Front</v>
      </c>
      <c r="D4" t="n">
        <v>31.007</v>
      </c>
      <c r="E4" t="n">
        <v>-3</v>
      </c>
      <c r="F4" t="n">
        <v>-17.75</v>
      </c>
      <c r="G4" t="n">
        <v>0</v>
      </c>
      <c r="H4" t="n">
        <v>-11.691</v>
      </c>
      <c r="I4" t="n">
        <v>-6.75</v>
      </c>
      <c r="J4" t="n">
        <v>34.02892196352979</v>
      </c>
      <c r="K4" t="str"/>
    </row>
    <row r="5">
      <c r="A5" t="n">
        <v>27</v>
      </c>
      <c r="B5" t="str">
        <v>小指屈肌</v>
      </c>
      <c r="C5" t="str">
        <v>Front</v>
      </c>
      <c r="D5" t="n">
        <v>31.007</v>
      </c>
      <c r="E5" t="n">
        <v>-4.5</v>
      </c>
      <c r="F5" t="n">
        <v>-15.25</v>
      </c>
      <c r="G5" t="n">
        <v>0</v>
      </c>
      <c r="H5" t="n">
        <v>-14.048</v>
      </c>
      <c r="I5" t="n">
        <v>-6.551</v>
      </c>
      <c r="J5" t="n">
        <v>33.589744774261085</v>
      </c>
      <c r="K5" t="str"/>
    </row>
    <row r="6">
      <c r="A6" t="n">
        <v>19</v>
      </c>
      <c r="B6" t="str">
        <v>左前手腕</v>
      </c>
      <c r="C6" t="str">
        <v>Front</v>
      </c>
      <c r="D6" t="n">
        <v>31.007</v>
      </c>
      <c r="E6" t="n">
        <v>-19.25</v>
      </c>
      <c r="F6" t="n">
        <v>-9.25</v>
      </c>
      <c r="G6" t="n">
        <v>0</v>
      </c>
      <c r="H6" t="n">
        <v>-15.441</v>
      </c>
      <c r="I6" t="n">
        <v>-1.351</v>
      </c>
      <c r="J6" t="n">
        <v>32.22323278319542</v>
      </c>
      <c r="K6" t="str"/>
    </row>
    <row r="7">
      <c r="A7" t="n">
        <v>7</v>
      </c>
      <c r="B7" t="str">
        <v>无名指外展</v>
      </c>
      <c r="C7" t="str">
        <v>Back</v>
      </c>
      <c r="D7" t="n">
        <v>31.007</v>
      </c>
      <c r="E7" t="n">
        <v>-11.569</v>
      </c>
      <c r="F7" t="n">
        <v>11.326</v>
      </c>
      <c r="G7" t="n">
        <v>0</v>
      </c>
      <c r="H7" t="n">
        <v>-14.048</v>
      </c>
      <c r="I7" t="n">
        <v>6.551</v>
      </c>
      <c r="J7" t="n">
        <v>31.4703052892723</v>
      </c>
      <c r="K7" t="str"/>
    </row>
    <row r="8">
      <c r="A8" t="n">
        <v>24</v>
      </c>
      <c r="B8" t="str">
        <v>无名指伸肌</v>
      </c>
      <c r="C8" t="str">
        <v>Back</v>
      </c>
      <c r="D8" t="n">
        <v>31.007</v>
      </c>
      <c r="E8" t="n">
        <v>-6.121</v>
      </c>
      <c r="F8" t="n">
        <v>14.837</v>
      </c>
      <c r="G8" t="n">
        <v>0</v>
      </c>
      <c r="H8" t="n">
        <v>-13.295</v>
      </c>
      <c r="I8" t="n">
        <v>2.344</v>
      </c>
      <c r="J8" t="n">
        <v>34.190281864880845</v>
      </c>
      <c r="K8" t="str"/>
    </row>
    <row r="9">
      <c r="A9" t="n">
        <v>8</v>
      </c>
      <c r="B9" t="str">
        <v>无名指内收</v>
      </c>
      <c r="C9" t="str">
        <v>Back</v>
      </c>
      <c r="D9" t="n">
        <v>31.007</v>
      </c>
      <c r="E9" t="n">
        <v>-2.165</v>
      </c>
      <c r="F9" t="n">
        <v>11.326</v>
      </c>
      <c r="G9" t="n">
        <v>0</v>
      </c>
      <c r="H9" t="n">
        <v>-12.686</v>
      </c>
      <c r="I9" t="n">
        <v>4.617</v>
      </c>
      <c r="J9" t="n">
        <v>33.42358704567779</v>
      </c>
      <c r="K9" t="str"/>
    </row>
    <row r="10">
      <c r="A10" t="n">
        <v>9</v>
      </c>
      <c r="B10" t="str">
        <v>中指伸肌</v>
      </c>
      <c r="C10" t="str">
        <v>Back</v>
      </c>
      <c r="D10" t="n">
        <v>31.007</v>
      </c>
      <c r="E10" t="n">
        <v>0.335</v>
      </c>
      <c r="F10" t="n">
        <v>14.779</v>
      </c>
      <c r="G10" t="n">
        <v>0</v>
      </c>
      <c r="H10" t="n">
        <v>11.691</v>
      </c>
      <c r="I10" t="n">
        <v>6.75</v>
      </c>
      <c r="J10" t="n">
        <v>33.98319622990162</v>
      </c>
      <c r="K10" t="str"/>
    </row>
    <row r="11">
      <c r="A11" t="n">
        <v>11</v>
      </c>
      <c r="B11" t="str">
        <v>食指伸肌</v>
      </c>
      <c r="C11" t="str">
        <v>Back</v>
      </c>
      <c r="D11" t="n">
        <v>31.007</v>
      </c>
      <c r="E11" t="n">
        <v>7.36</v>
      </c>
      <c r="F11" t="n">
        <v>13.735</v>
      </c>
      <c r="G11" t="n">
        <v>0</v>
      </c>
      <c r="H11" t="n">
        <v>12.697</v>
      </c>
      <c r="I11" t="n">
        <v>8.89</v>
      </c>
      <c r="J11" t="n">
        <v>31.833812888185417</v>
      </c>
      <c r="K11" t="str"/>
    </row>
    <row r="12">
      <c r="A12" t="n">
        <v>26</v>
      </c>
      <c r="B12" t="str">
        <v>右后手腕</v>
      </c>
      <c r="C12" t="str">
        <v>Back</v>
      </c>
      <c r="D12" t="n">
        <v>31.007</v>
      </c>
      <c r="E12" t="n">
        <v>11.078</v>
      </c>
      <c r="F12" t="n">
        <v>13.735</v>
      </c>
      <c r="G12" t="n">
        <v>0</v>
      </c>
      <c r="H12" t="n">
        <v>14.048</v>
      </c>
      <c r="I12" t="n">
        <v>6.551</v>
      </c>
      <c r="J12" t="n">
        <v>31.966620168544566</v>
      </c>
      <c r="K12" t="str"/>
    </row>
    <row r="13">
      <c r="A13" t="n">
        <v>20</v>
      </c>
      <c r="B13" t="str">
        <v>拇短伸肌</v>
      </c>
      <c r="C13" t="str">
        <v>Back</v>
      </c>
      <c r="D13" t="n">
        <v>31.007</v>
      </c>
      <c r="E13" t="n">
        <v>19</v>
      </c>
      <c r="F13" t="n">
        <v>11.326</v>
      </c>
      <c r="G13" t="n">
        <v>0</v>
      </c>
      <c r="H13" t="n">
        <v>15.441</v>
      </c>
      <c r="I13" t="n">
        <v>1.351</v>
      </c>
      <c r="J13" t="n">
        <v>32.76585349109649</v>
      </c>
      <c r="K13" t="str"/>
    </row>
    <row r="14">
      <c r="A14" t="n">
        <v>14</v>
      </c>
      <c r="B14" t="str">
        <v>食指外展</v>
      </c>
      <c r="C14" t="str">
        <v>Front</v>
      </c>
      <c r="D14" t="n">
        <v>31.007</v>
      </c>
      <c r="E14" t="n">
        <v>3</v>
      </c>
      <c r="F14" t="n">
        <v>-12.75</v>
      </c>
      <c r="G14" t="n">
        <v>0</v>
      </c>
      <c r="H14" t="n">
        <v>12.697</v>
      </c>
      <c r="I14" t="n">
        <v>-8.89</v>
      </c>
      <c r="J14" t="n">
        <v>32.716440179212654</v>
      </c>
      <c r="K14" t="str"/>
    </row>
    <row r="15">
      <c r="A15" t="n">
        <v>18</v>
      </c>
      <c r="B15" t="str">
        <v>拇长屈肌</v>
      </c>
      <c r="C15" t="str">
        <v>Front</v>
      </c>
      <c r="D15" t="n">
        <v>31.007</v>
      </c>
      <c r="E15" t="n">
        <v>4.5</v>
      </c>
      <c r="F15" t="n">
        <v>-15.25</v>
      </c>
      <c r="G15" t="n">
        <v>0</v>
      </c>
      <c r="H15" t="n">
        <v>14.048</v>
      </c>
      <c r="I15" t="n">
        <v>-6.551</v>
      </c>
      <c r="J15" t="n">
        <v>33.589744774261085</v>
      </c>
      <c r="K15" t="str"/>
    </row>
    <row r="16">
      <c r="A16" t="n">
        <v>15</v>
      </c>
      <c r="B16" t="str">
        <v>食指内收</v>
      </c>
      <c r="C16" t="str">
        <v>Front</v>
      </c>
      <c r="D16" t="n">
        <v>31.007</v>
      </c>
      <c r="E16" t="n">
        <v>0</v>
      </c>
      <c r="F16" t="n">
        <v>-12.75</v>
      </c>
      <c r="G16" t="n">
        <v>0</v>
      </c>
      <c r="H16" t="n">
        <v>-12.686</v>
      </c>
      <c r="I16" t="n">
        <v>-4.617</v>
      </c>
      <c r="J16" t="n">
        <v>34.4748362432659</v>
      </c>
      <c r="K16" t="str"/>
    </row>
    <row r="17">
      <c r="A17" t="n">
        <v>16</v>
      </c>
      <c r="B17" t="str">
        <v>中指指深屈肌</v>
      </c>
      <c r="C17" t="str">
        <v>Front</v>
      </c>
      <c r="D17" t="n">
        <v>31.007</v>
      </c>
      <c r="E17" t="n">
        <v>1.5</v>
      </c>
      <c r="F17" t="n">
        <v>-15.25</v>
      </c>
      <c r="G17" t="n">
        <v>0</v>
      </c>
      <c r="H17" t="n">
        <v>12.686</v>
      </c>
      <c r="I17" t="n">
        <v>-4.617</v>
      </c>
      <c r="J17" t="n">
        <v>34.63555014721146</v>
      </c>
      <c r="K17" t="str"/>
    </row>
    <row r="18">
      <c r="A18" t="n">
        <v>1</v>
      </c>
      <c r="B18" t="str">
        <v>食指指深屈肌</v>
      </c>
      <c r="C18" t="str">
        <v>Front</v>
      </c>
      <c r="D18" t="n">
        <v>31.007</v>
      </c>
      <c r="E18" t="n">
        <v>3</v>
      </c>
      <c r="F18" t="n">
        <v>-17.75</v>
      </c>
      <c r="G18" t="n">
        <v>0</v>
      </c>
      <c r="H18" t="n">
        <v>13.295</v>
      </c>
      <c r="I18" t="n">
        <v>-2.344</v>
      </c>
      <c r="J18" t="n">
        <v>36.12154357166925</v>
      </c>
      <c r="K18" t="str"/>
    </row>
    <row r="19">
      <c r="A19" t="n">
        <v>5</v>
      </c>
      <c r="B19" t="str">
        <v>右前手腕</v>
      </c>
      <c r="C19" t="str">
        <v>Front</v>
      </c>
      <c r="D19" t="n">
        <v>31.007</v>
      </c>
      <c r="E19" t="n">
        <v>13.5</v>
      </c>
      <c r="F19" t="n">
        <v>-10.25</v>
      </c>
      <c r="G19" t="n">
        <v>0</v>
      </c>
      <c r="H19" t="n">
        <v>14.972</v>
      </c>
      <c r="I19" t="n">
        <v>-4.012</v>
      </c>
      <c r="J19" t="n">
        <v>31.662493221475785</v>
      </c>
      <c r="K19" t="str"/>
    </row>
    <row r="20">
      <c r="A20" t="n">
        <v>13</v>
      </c>
      <c r="B20" t="str">
        <v>拇展肌</v>
      </c>
      <c r="C20" t="str">
        <v>Front</v>
      </c>
      <c r="D20" t="n">
        <v>31.007</v>
      </c>
      <c r="E20" t="n">
        <v>19</v>
      </c>
      <c r="F20" t="n">
        <v>-17</v>
      </c>
      <c r="G20" t="n">
        <v>0</v>
      </c>
      <c r="H20" t="n">
        <v>15.441</v>
      </c>
      <c r="I20" t="n">
        <v>-1.351</v>
      </c>
      <c r="J20" t="n">
        <v>34.914062081058404</v>
      </c>
      <c r="K20" t="str"/>
    </row>
    <row r="21">
      <c r="A21" t="n">
        <v>21</v>
      </c>
      <c r="B21" t="str">
        <v>拇长伸肌</v>
      </c>
      <c r="C21" t="str">
        <v>Back</v>
      </c>
      <c r="D21" t="n">
        <v>31.007</v>
      </c>
      <c r="E21" t="n">
        <v>12.635</v>
      </c>
      <c r="F21" t="n">
        <v>11.326</v>
      </c>
      <c r="G21" t="n">
        <v>0</v>
      </c>
      <c r="H21" t="n">
        <v>14.972</v>
      </c>
      <c r="I21" t="n">
        <v>4.012</v>
      </c>
      <c r="J21" t="n">
        <v>31.943547298319892</v>
      </c>
      <c r="K21" t="str"/>
    </row>
    <row r="22">
      <c r="A22" t="n">
        <v>22</v>
      </c>
      <c r="B22" t="str">
        <v>拇收肌</v>
      </c>
      <c r="C22" t="str">
        <v>Back</v>
      </c>
      <c r="D22" t="n">
        <v>31.007</v>
      </c>
      <c r="E22" t="n">
        <v>9.684</v>
      </c>
      <c r="F22" t="n">
        <v>11.326</v>
      </c>
      <c r="G22" t="n">
        <v>0</v>
      </c>
      <c r="H22" t="n">
        <v>13.295</v>
      </c>
      <c r="I22" t="n">
        <v>2.344</v>
      </c>
      <c r="J22" t="n">
        <v>32.483067804627076</v>
      </c>
      <c r="K22" t="str"/>
    </row>
    <row r="23">
      <c r="A23" t="n">
        <v>10</v>
      </c>
      <c r="B23" t="str">
        <v>中指外展</v>
      </c>
      <c r="C23" t="str">
        <v>Back</v>
      </c>
      <c r="D23" t="n">
        <v>31.007</v>
      </c>
      <c r="E23" t="n">
        <v>5.61</v>
      </c>
      <c r="F23" t="n">
        <v>11.326</v>
      </c>
      <c r="G23" t="n">
        <v>0</v>
      </c>
      <c r="H23" t="n">
        <v>12.686</v>
      </c>
      <c r="I23" t="n">
        <v>4.617</v>
      </c>
      <c r="J23" t="n">
        <v>32.50406906834897</v>
      </c>
      <c r="K23" t="str"/>
    </row>
    <row r="24">
      <c r="A24" t="n">
        <v>23</v>
      </c>
      <c r="B24" t="str">
        <v>中指内收</v>
      </c>
      <c r="C24" t="str">
        <v>Back</v>
      </c>
      <c r="D24" t="n">
        <v>31.007</v>
      </c>
      <c r="E24" t="n">
        <v>1.835</v>
      </c>
      <c r="F24" t="n">
        <v>11.326</v>
      </c>
      <c r="G24" t="n">
        <v>0</v>
      </c>
      <c r="H24" t="n">
        <v>-11.691</v>
      </c>
      <c r="I24" t="n">
        <v>6.75</v>
      </c>
      <c r="J24" t="n">
        <v>34.136878899512766</v>
      </c>
      <c r="K24" t="str"/>
    </row>
    <row r="25">
      <c r="A25" t="n">
        <v>25</v>
      </c>
      <c r="B25" t="str">
        <v>小指伸肌</v>
      </c>
      <c r="C25" t="str">
        <v>Back</v>
      </c>
      <c r="D25" t="n">
        <v>31.007</v>
      </c>
      <c r="E25" t="n">
        <v>-10</v>
      </c>
      <c r="F25" t="n">
        <v>15</v>
      </c>
      <c r="G25" t="n">
        <v>0</v>
      </c>
      <c r="H25" t="n">
        <v>-12.697</v>
      </c>
      <c r="I25" t="n">
        <v>8.89</v>
      </c>
      <c r="J25" t="n">
        <v>31.71813295261876</v>
      </c>
      <c r="K25" t="str"/>
    </row>
    <row r="26">
      <c r="A26" t="n">
        <v>12</v>
      </c>
      <c r="B26" t="str">
        <v>左后手腕</v>
      </c>
      <c r="C26" t="str">
        <v>Back</v>
      </c>
      <c r="D26" t="n">
        <v>31.007</v>
      </c>
      <c r="E26" t="n">
        <v>-18</v>
      </c>
      <c r="F26" t="n">
        <v>10.25</v>
      </c>
      <c r="G26" t="n">
        <v>0</v>
      </c>
      <c r="H26" t="n">
        <v>-14.972</v>
      </c>
      <c r="I26" t="n">
        <v>4.012</v>
      </c>
      <c r="J26" t="n">
        <v>31.772873288388634</v>
      </c>
      <c r="K26" t="str"/>
    </row>
    <row r="27">
      <c r="A27" t="n">
        <v>6</v>
      </c>
      <c r="B27" t="str">
        <v>小指外展</v>
      </c>
      <c r="C27" t="str">
        <v>Back</v>
      </c>
      <c r="D27" t="n">
        <v>31.007</v>
      </c>
      <c r="E27" t="n">
        <v>-15.38</v>
      </c>
      <c r="F27" t="n">
        <v>11.326</v>
      </c>
      <c r="G27" t="n">
        <v>0</v>
      </c>
      <c r="H27" t="n">
        <v>-15.441</v>
      </c>
      <c r="I27" t="n">
        <v>1.351</v>
      </c>
      <c r="J27" t="n">
        <v>32.572049290764625</v>
      </c>
      <c r="K27" t="str"/>
    </row>
    <row r="28">
      <c r="A28" t="n">
        <v>4</v>
      </c>
      <c r="B28" t="str">
        <v>小指内收</v>
      </c>
      <c r="C28" t="str">
        <v>Front</v>
      </c>
      <c r="D28" t="n">
        <v>31.007</v>
      </c>
      <c r="E28" t="n">
        <v>-10</v>
      </c>
      <c r="F28" t="n">
        <v>-17</v>
      </c>
      <c r="G28" t="n">
        <v>0</v>
      </c>
      <c r="H28" t="n">
        <v>-14.972</v>
      </c>
      <c r="I28" t="n">
        <v>-4.012</v>
      </c>
      <c r="J28" t="n">
        <v>33.982980696224985</v>
      </c>
      <c r="K28" t="str"/>
    </row>
    <row r="29">
      <c r="A29" t="n">
        <v>28</v>
      </c>
      <c r="B29" t="str">
        <v>拇对掌肌</v>
      </c>
      <c r="C29" t="str">
        <v>Front</v>
      </c>
      <c r="D29" t="n">
        <v>31.007</v>
      </c>
      <c r="E29" t="n">
        <v>-3</v>
      </c>
      <c r="F29" t="n">
        <v>-12.75</v>
      </c>
      <c r="G29" t="n">
        <v>0</v>
      </c>
      <c r="H29" t="n">
        <v>-13.295</v>
      </c>
      <c r="I29" t="n">
        <v>-2.344</v>
      </c>
      <c r="J29" t="n">
        <v>34.288568211577456</v>
      </c>
      <c r="K29" t="str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FormatPr defaultRowHeight="15"/>
  <cols>
    <col min="1" max="1" width="12" hidden="0" customWidth="1"/>
    <col min="2" max="2" width="22" hidden="0" customWidth="1"/>
    <col min="3" max="3" width="14" hidden="0" customWidth="1"/>
    <col min="4" max="4" width="14" hidden="0" customWidth="1"/>
    <col min="5" max="5" width="14" hidden="0" customWidth="1"/>
    <col min="6" max="6" width="14" hidden="0" customWidth="1"/>
    <col min="7" max="7" width="14" hidden="0" customWidth="1"/>
    <col min="8" max="8" width="14" hidden="0" customWidth="1"/>
    <col min="9" max="9" width="14" hidden="0" customWidth="1"/>
    <col min="10" max="10" width="14" hidden="0" customWidth="1"/>
    <col min="11" max="11" width="14" hidden="0" customWidth="1"/>
  </cols>
  <sheetData>
    <row r="1">
      <c r="A1" s="20" t="str">
        <v>Motor_ID</v>
      </c>
      <c r="B1" s="20" t="str">
        <v>Muscle_or_Hole_Name</v>
      </c>
      <c r="C1" s="20" t="str">
        <v>Region</v>
      </c>
      <c r="D1" s="20" t="str">
        <v>Band_X</v>
      </c>
      <c r="E1" s="20" t="str">
        <v>Band_Y</v>
      </c>
      <c r="F1" s="20" t="str">
        <v>Band_Z</v>
      </c>
      <c r="G1" s="20" t="str">
        <v>Base_X</v>
      </c>
      <c r="H1" s="20" t="str">
        <v>Base_Y</v>
      </c>
      <c r="I1" s="20" t="str">
        <v>Base_Z</v>
      </c>
      <c r="J1" s="20" t="str">
        <v>Initial_L0_mm</v>
      </c>
      <c r="K1" s="20" t="str">
        <v>Correction_Note</v>
      </c>
    </row>
    <row r="2">
      <c r="A2" t="n">
        <v>1</v>
      </c>
      <c r="B2" t="str">
        <v>食指内收</v>
      </c>
      <c r="C2" t="str">
        <v>Front</v>
      </c>
      <c r="D2" t="n">
        <v>31.007</v>
      </c>
      <c r="E2" t="n">
        <v>0</v>
      </c>
      <c r="F2" t="n">
        <v>-12.75</v>
      </c>
      <c r="G2" t="n">
        <v>0</v>
      </c>
      <c r="H2" t="n">
        <v>-12.686</v>
      </c>
      <c r="I2" t="n">
        <v>-4.617</v>
      </c>
      <c r="J2" t="n">
        <v>34.4748362432659</v>
      </c>
      <c r="K2" t="str"/>
    </row>
    <row r="3">
      <c r="A3" t="n">
        <v>2</v>
      </c>
      <c r="B3" t="str">
        <v>中指指深屈肌</v>
      </c>
      <c r="C3" t="str">
        <v>Front</v>
      </c>
      <c r="D3" t="n">
        <v>31.007</v>
      </c>
      <c r="E3" t="n">
        <v>0</v>
      </c>
      <c r="F3" t="n">
        <v>-17.75</v>
      </c>
      <c r="G3" t="n">
        <v>0</v>
      </c>
      <c r="H3" t="n">
        <v>12.686</v>
      </c>
      <c r="I3" t="n">
        <v>-4.617</v>
      </c>
      <c r="J3" t="n">
        <v>35.98394550351587</v>
      </c>
      <c r="K3" t="str"/>
    </row>
    <row r="4">
      <c r="A4" t="n">
        <v>15</v>
      </c>
      <c r="B4" t="str">
        <v>食指指深屈肌</v>
      </c>
      <c r="C4" t="str">
        <v>Front</v>
      </c>
      <c r="D4" t="n">
        <v>31.007</v>
      </c>
      <c r="E4" t="n">
        <v>-3</v>
      </c>
      <c r="F4" t="n">
        <v>-17.75</v>
      </c>
      <c r="G4" t="n">
        <v>0</v>
      </c>
      <c r="H4" t="n">
        <v>-12.697</v>
      </c>
      <c r="I4" t="n">
        <v>-8.89</v>
      </c>
      <c r="J4" t="n">
        <v>33.674403602736604</v>
      </c>
      <c r="K4" t="inlineStr">
        <is>
          <t>M3/M15 geometry swapped per correction; names remain original.</t>
        </is>
      </c>
    </row>
    <row r="5">
      <c r="A5" t="n">
        <v>5</v>
      </c>
      <c r="B5" t="str">
        <v>右前手腕</v>
      </c>
      <c r="C5" t="str">
        <v>Front</v>
      </c>
      <c r="D5" t="n">
        <v>31.007</v>
      </c>
      <c r="E5" t="n">
        <v>19.25</v>
      </c>
      <c r="F5" t="n">
        <v>-9.25</v>
      </c>
      <c r="G5" t="n">
        <v>0</v>
      </c>
      <c r="H5" t="n">
        <v>15.441</v>
      </c>
      <c r="I5" t="n">
        <v>-1.351</v>
      </c>
      <c r="J5" t="n">
        <v>32.22323278319542</v>
      </c>
      <c r="K5" t="str"/>
    </row>
    <row r="6">
      <c r="A6" t="n">
        <v>27</v>
      </c>
      <c r="B6" t="str">
        <v>拇展肌</v>
      </c>
      <c r="C6" t="str">
        <v>Front</v>
      </c>
      <c r="D6" t="n">
        <v>31.007</v>
      </c>
      <c r="E6" t="n">
        <v>-9.5</v>
      </c>
      <c r="F6" t="n">
        <v>-20.211</v>
      </c>
      <c r="G6" t="n">
        <v>0</v>
      </c>
      <c r="H6" t="n">
        <v>-14.972</v>
      </c>
      <c r="I6" t="n">
        <v>-4.012</v>
      </c>
      <c r="J6" t="n">
        <v>35.40881859085389</v>
      </c>
      <c r="K6" t="str"/>
    </row>
    <row r="7">
      <c r="A7" t="n">
        <v>7</v>
      </c>
      <c r="B7" t="str">
        <v>拇长伸肌</v>
      </c>
      <c r="C7" t="str">
        <v>Back</v>
      </c>
      <c r="D7" t="n">
        <v>31.007</v>
      </c>
      <c r="E7" t="n">
        <v>-11.569</v>
      </c>
      <c r="F7" t="n">
        <v>11.326</v>
      </c>
      <c r="G7" t="n">
        <v>0</v>
      </c>
      <c r="H7" t="n">
        <v>-14.048</v>
      </c>
      <c r="I7" t="n">
        <v>6.551</v>
      </c>
      <c r="J7" t="n">
        <v>31.4703052892723</v>
      </c>
      <c r="K7" t="str"/>
    </row>
    <row r="8">
      <c r="A8" t="n">
        <v>8</v>
      </c>
      <c r="B8" t="str">
        <v>拇收肌</v>
      </c>
      <c r="C8" t="str">
        <v>Back</v>
      </c>
      <c r="D8" t="n">
        <v>31.007</v>
      </c>
      <c r="E8" t="n">
        <v>-7.664</v>
      </c>
      <c r="F8" t="n">
        <v>11.326</v>
      </c>
      <c r="G8" t="n">
        <v>0</v>
      </c>
      <c r="H8" t="n">
        <v>-13.295</v>
      </c>
      <c r="I8" t="n">
        <v>2.344</v>
      </c>
      <c r="J8" t="n">
        <v>32.76917048080406</v>
      </c>
      <c r="K8" t="str"/>
    </row>
    <row r="9">
      <c r="A9" t="n">
        <v>24</v>
      </c>
      <c r="B9" t="str">
        <v>中指外展</v>
      </c>
      <c r="C9" t="str">
        <v>Back</v>
      </c>
      <c r="D9" t="n">
        <v>31.007</v>
      </c>
      <c r="E9" t="n">
        <v>-2.165</v>
      </c>
      <c r="F9" t="n">
        <v>11.326</v>
      </c>
      <c r="G9" t="n">
        <v>0</v>
      </c>
      <c r="H9" t="n">
        <v>-12.686</v>
      </c>
      <c r="I9" t="n">
        <v>4.617</v>
      </c>
      <c r="J9" t="n">
        <v>33.42358704567779</v>
      </c>
      <c r="K9" t="str"/>
    </row>
    <row r="10">
      <c r="A10" t="n">
        <v>9</v>
      </c>
      <c r="B10" t="str">
        <v>中指内收</v>
      </c>
      <c r="C10" t="str">
        <v>Back</v>
      </c>
      <c r="D10" t="n">
        <v>31.007</v>
      </c>
      <c r="E10" t="n">
        <v>1.835</v>
      </c>
      <c r="F10" t="n">
        <v>11.326</v>
      </c>
      <c r="G10" t="n">
        <v>0</v>
      </c>
      <c r="H10" t="n">
        <v>-11.691</v>
      </c>
      <c r="I10" t="n">
        <v>6.75</v>
      </c>
      <c r="J10" t="n">
        <v>34.136878899512766</v>
      </c>
      <c r="K10" t="str"/>
    </row>
    <row r="11">
      <c r="A11" t="n">
        <v>11</v>
      </c>
      <c r="B11" t="str">
        <v>小指伸肌</v>
      </c>
      <c r="C11" t="str">
        <v>Back</v>
      </c>
      <c r="D11" t="n">
        <v>31.007</v>
      </c>
      <c r="E11" t="n">
        <v>14.546</v>
      </c>
      <c r="F11" t="n">
        <v>13.735</v>
      </c>
      <c r="G11" t="n">
        <v>0</v>
      </c>
      <c r="H11" t="n">
        <v>14.048</v>
      </c>
      <c r="I11" t="n">
        <v>6.551</v>
      </c>
      <c r="J11" t="n">
        <v>31.832246370622357</v>
      </c>
      <c r="K11" t="str"/>
    </row>
    <row r="12">
      <c r="A12" t="n">
        <v>12</v>
      </c>
      <c r="B12" t="str">
        <v>左后手腕</v>
      </c>
      <c r="C12" t="str">
        <v>Back</v>
      </c>
      <c r="D12" t="n">
        <v>31.007</v>
      </c>
      <c r="E12" t="n">
        <v>-19.25</v>
      </c>
      <c r="F12" t="n">
        <v>7.25</v>
      </c>
      <c r="G12" t="n">
        <v>0</v>
      </c>
      <c r="H12" t="n">
        <v>-15.441</v>
      </c>
      <c r="I12" t="n">
        <v>1.351</v>
      </c>
      <c r="J12" t="n">
        <v>31.792148889309132</v>
      </c>
      <c r="K12" t="str"/>
    </row>
    <row r="13">
      <c r="A13" t="n">
        <v>20</v>
      </c>
      <c r="B13" t="str">
        <v>小指外展</v>
      </c>
      <c r="C13" t="str">
        <v>Back</v>
      </c>
      <c r="D13" t="n">
        <v>31.007</v>
      </c>
      <c r="E13" t="n">
        <v>19</v>
      </c>
      <c r="F13" t="n">
        <v>11.326</v>
      </c>
      <c r="G13" t="n">
        <v>0</v>
      </c>
      <c r="H13" t="n">
        <v>14.972</v>
      </c>
      <c r="I13" t="n">
        <v>4.012</v>
      </c>
      <c r="J13" t="n">
        <v>32.11157780302924</v>
      </c>
      <c r="K13" t="str"/>
    </row>
    <row r="14">
      <c r="A14" t="n">
        <v>18</v>
      </c>
      <c r="B14" t="str">
        <v>小指内收</v>
      </c>
      <c r="C14" t="str">
        <v>Front</v>
      </c>
      <c r="D14" t="n">
        <v>31.007</v>
      </c>
      <c r="E14" t="n">
        <v>6</v>
      </c>
      <c r="F14" t="n">
        <v>-12.75</v>
      </c>
      <c r="G14" t="n">
        <v>0</v>
      </c>
      <c r="H14" t="n">
        <v>14.972</v>
      </c>
      <c r="I14" t="n">
        <v>-4.012</v>
      </c>
      <c r="J14" t="n">
        <v>33.44074576022491</v>
      </c>
      <c r="K14" t="str"/>
    </row>
    <row r="15">
      <c r="A15" t="n">
        <v>14</v>
      </c>
      <c r="B15" t="str">
        <v>拇对掌肌</v>
      </c>
      <c r="C15" t="str">
        <v>Front</v>
      </c>
      <c r="D15" t="n">
        <v>31.007</v>
      </c>
      <c r="E15" t="n">
        <v>3</v>
      </c>
      <c r="F15" t="n">
        <v>-12.75</v>
      </c>
      <c r="G15" t="n">
        <v>0</v>
      </c>
      <c r="H15" t="n">
        <v>13.295</v>
      </c>
      <c r="I15" t="n">
        <v>-2.344</v>
      </c>
      <c r="J15" t="n">
        <v>34.288568211577456</v>
      </c>
      <c r="K15" t="str"/>
    </row>
    <row r="16">
      <c r="A16" t="n">
        <v>3</v>
      </c>
      <c r="B16" t="str">
        <v>食指指浅屈肌</v>
      </c>
      <c r="C16" t="str">
        <v>Front</v>
      </c>
      <c r="D16" t="n">
        <v>31.007</v>
      </c>
      <c r="E16" t="n">
        <v>-1.5</v>
      </c>
      <c r="F16" t="n">
        <v>-15.25</v>
      </c>
      <c r="G16" t="n">
        <v>0</v>
      </c>
      <c r="H16" t="n">
        <v>-11.691</v>
      </c>
      <c r="I16" t="n">
        <v>-6.75</v>
      </c>
      <c r="J16" t="n">
        <v>33.72744475942404</v>
      </c>
      <c r="K16" t="inlineStr">
        <is>
          <t>M3/M15 geometry swapped per correction; names remain original.</t>
        </is>
      </c>
    </row>
    <row r="17">
      <c r="A17" t="n">
        <v>16</v>
      </c>
      <c r="B17" t="str">
        <v>中指指浅屈肌</v>
      </c>
      <c r="C17" t="str">
        <v>Front</v>
      </c>
      <c r="D17" t="n">
        <v>31.007</v>
      </c>
      <c r="E17" t="n">
        <v>1.5</v>
      </c>
      <c r="F17" t="n">
        <v>-15.25</v>
      </c>
      <c r="G17" t="n">
        <v>0</v>
      </c>
      <c r="H17" t="n">
        <v>11.691</v>
      </c>
      <c r="I17" t="n">
        <v>-6.75</v>
      </c>
      <c r="J17" t="n">
        <v>33.72744475942404</v>
      </c>
      <c r="K17" t="str"/>
    </row>
    <row r="18">
      <c r="A18" t="n">
        <v>17</v>
      </c>
      <c r="B18" t="str">
        <v>无名指屈肌</v>
      </c>
      <c r="C18" t="str">
        <v>Front</v>
      </c>
      <c r="D18" t="n">
        <v>31.007</v>
      </c>
      <c r="E18" t="n">
        <v>3</v>
      </c>
      <c r="F18" t="n">
        <v>-17.75</v>
      </c>
      <c r="G18" t="n">
        <v>0</v>
      </c>
      <c r="H18" t="n">
        <v>12.697</v>
      </c>
      <c r="I18" t="n">
        <v>-8.89</v>
      </c>
      <c r="J18" t="n">
        <v>33.674403602736604</v>
      </c>
      <c r="K18" t="str"/>
    </row>
    <row r="19">
      <c r="A19" t="n">
        <v>13</v>
      </c>
      <c r="B19" t="str">
        <v>小指屈肌</v>
      </c>
      <c r="C19" t="str">
        <v>Front</v>
      </c>
      <c r="D19" t="n">
        <v>31.007</v>
      </c>
      <c r="E19" t="n">
        <v>4.5</v>
      </c>
      <c r="F19" t="n">
        <v>-15.25</v>
      </c>
      <c r="G19" t="n">
        <v>0</v>
      </c>
      <c r="H19" t="n">
        <v>14.048</v>
      </c>
      <c r="I19" t="n">
        <v>-6.551</v>
      </c>
      <c r="J19" t="n">
        <v>33.589744774261085</v>
      </c>
      <c r="K19" t="str"/>
    </row>
    <row r="20">
      <c r="A20" t="n">
        <v>19</v>
      </c>
      <c r="B20" t="str">
        <v>左前手腕</v>
      </c>
      <c r="C20" t="str">
        <v>Front</v>
      </c>
      <c r="D20" t="n">
        <v>31.007</v>
      </c>
      <c r="E20" t="n">
        <v>-19.25</v>
      </c>
      <c r="F20" t="n">
        <v>-9.25</v>
      </c>
      <c r="G20" t="n">
        <v>0</v>
      </c>
      <c r="H20" t="n">
        <v>-15.441</v>
      </c>
      <c r="I20" t="n">
        <v>-1.351</v>
      </c>
      <c r="J20" t="n">
        <v>32.22323278319542</v>
      </c>
      <c r="K20" t="str"/>
    </row>
    <row r="21">
      <c r="A21" t="n">
        <v>21</v>
      </c>
      <c r="B21" t="str">
        <v>无名指外展</v>
      </c>
      <c r="C21" t="str">
        <v>Back</v>
      </c>
      <c r="D21" t="n">
        <v>31.007</v>
      </c>
      <c r="E21" t="n">
        <v>9.684</v>
      </c>
      <c r="F21" t="n">
        <v>11.326</v>
      </c>
      <c r="G21" t="n">
        <v>0</v>
      </c>
      <c r="H21" t="n">
        <v>13.295</v>
      </c>
      <c r="I21" t="n">
        <v>2.344</v>
      </c>
      <c r="J21" t="n">
        <v>32.483067804627076</v>
      </c>
      <c r="K21" t="str"/>
    </row>
    <row r="22">
      <c r="A22" t="n">
        <v>10</v>
      </c>
      <c r="B22" t="str">
        <v>无名指伸肌</v>
      </c>
      <c r="C22" t="str">
        <v>Back</v>
      </c>
      <c r="D22" t="n">
        <v>31.007</v>
      </c>
      <c r="E22" t="n">
        <v>7.36</v>
      </c>
      <c r="F22" t="n">
        <v>13.735</v>
      </c>
      <c r="G22" t="n">
        <v>0</v>
      </c>
      <c r="H22" t="n">
        <v>12.697</v>
      </c>
      <c r="I22" t="n">
        <v>8.89</v>
      </c>
      <c r="J22" t="n">
        <v>31.833812888185417</v>
      </c>
      <c r="K22" t="str"/>
    </row>
    <row r="23">
      <c r="A23" t="n">
        <v>22</v>
      </c>
      <c r="B23" t="str">
        <v>无名指内收</v>
      </c>
      <c r="C23" t="str">
        <v>Back</v>
      </c>
      <c r="D23" t="n">
        <v>31.007</v>
      </c>
      <c r="E23" t="n">
        <v>5.61</v>
      </c>
      <c r="F23" t="n">
        <v>11.326</v>
      </c>
      <c r="G23" t="n">
        <v>0</v>
      </c>
      <c r="H23" t="n">
        <v>12.686</v>
      </c>
      <c r="I23" t="n">
        <v>4.617</v>
      </c>
      <c r="J23" t="n">
        <v>32.50406906834897</v>
      </c>
      <c r="K23" t="str"/>
    </row>
    <row r="24">
      <c r="A24" t="n">
        <v>23</v>
      </c>
      <c r="B24" t="str">
        <v>中指伸肌</v>
      </c>
      <c r="C24" t="str">
        <v>Back</v>
      </c>
      <c r="D24" t="n">
        <v>31.007</v>
      </c>
      <c r="E24" t="n">
        <v>0.335</v>
      </c>
      <c r="F24" t="n">
        <v>14.779</v>
      </c>
      <c r="G24" t="n">
        <v>0</v>
      </c>
      <c r="H24" t="n">
        <v>11.691</v>
      </c>
      <c r="I24" t="n">
        <v>6.75</v>
      </c>
      <c r="J24" t="n">
        <v>33.98319622990162</v>
      </c>
      <c r="K24" t="str"/>
    </row>
    <row r="25">
      <c r="A25" t="n">
        <v>25</v>
      </c>
      <c r="B25" t="str">
        <v>食指伸肌</v>
      </c>
      <c r="C25" t="str">
        <v>Back</v>
      </c>
      <c r="D25" t="n">
        <v>31.007</v>
      </c>
      <c r="E25" t="n">
        <v>-10</v>
      </c>
      <c r="F25" t="n">
        <v>15</v>
      </c>
      <c r="G25" t="n">
        <v>0</v>
      </c>
      <c r="H25" t="n">
        <v>-12.697</v>
      </c>
      <c r="I25" t="n">
        <v>8.89</v>
      </c>
      <c r="J25" t="n">
        <v>31.71813295261876</v>
      </c>
      <c r="K25" t="str"/>
    </row>
    <row r="26">
      <c r="A26" t="n">
        <v>26</v>
      </c>
      <c r="B26" t="str">
        <v>右后手腕</v>
      </c>
      <c r="C26" t="str">
        <v>Back</v>
      </c>
      <c r="D26" t="n">
        <v>31.007</v>
      </c>
      <c r="E26" t="n">
        <v>19.25</v>
      </c>
      <c r="F26" t="n">
        <v>7.25</v>
      </c>
      <c r="G26" t="n">
        <v>0</v>
      </c>
      <c r="H26" t="n">
        <v>15.441</v>
      </c>
      <c r="I26" t="n">
        <v>1.351</v>
      </c>
      <c r="J26" t="n">
        <v>31.792148889309132</v>
      </c>
      <c r="K26" t="str"/>
    </row>
    <row r="27">
      <c r="A27" t="n">
        <v>6</v>
      </c>
      <c r="B27" t="str">
        <v>拇短伸肌</v>
      </c>
      <c r="C27" t="str">
        <v>Back</v>
      </c>
      <c r="D27" t="n">
        <v>31.007</v>
      </c>
      <c r="E27" t="n">
        <v>-15.38</v>
      </c>
      <c r="F27" t="n">
        <v>11.326</v>
      </c>
      <c r="G27" t="n">
        <v>0</v>
      </c>
      <c r="H27" t="n">
        <v>-14.972</v>
      </c>
      <c r="I27" t="n">
        <v>4.012</v>
      </c>
      <c r="J27" t="n">
        <v>31.86055726129096</v>
      </c>
      <c r="K27" t="str"/>
    </row>
    <row r="28">
      <c r="A28" t="n">
        <v>28</v>
      </c>
      <c r="B28" t="str">
        <v>食指外展</v>
      </c>
      <c r="C28" t="str">
        <v>Front</v>
      </c>
      <c r="D28" t="n">
        <v>31.007</v>
      </c>
      <c r="E28" t="n">
        <v>-3</v>
      </c>
      <c r="F28" t="n">
        <v>-12.75</v>
      </c>
      <c r="G28" t="n">
        <v>0</v>
      </c>
      <c r="H28" t="n">
        <v>-13.295</v>
      </c>
      <c r="I28" t="n">
        <v>-2.344</v>
      </c>
      <c r="J28" t="n">
        <v>34.288568211577456</v>
      </c>
      <c r="K28" t="str"/>
    </row>
    <row r="29">
      <c r="A29" t="n">
        <v>4</v>
      </c>
      <c r="B29" t="str">
        <v>拇长屈肌</v>
      </c>
      <c r="C29" t="str">
        <v>Front</v>
      </c>
      <c r="D29" t="n">
        <v>31.007</v>
      </c>
      <c r="E29" t="n">
        <v>-4.5</v>
      </c>
      <c r="F29" t="n">
        <v>-15.25</v>
      </c>
      <c r="G29" t="n">
        <v>0</v>
      </c>
      <c r="H29" t="n">
        <v>-14.048</v>
      </c>
      <c r="I29" t="n">
        <v>-6.551</v>
      </c>
      <c r="J29" t="n">
        <v>33.589744774261085</v>
      </c>
      <c r="K29" t="str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FormatPr defaultRowHeight="15"/>
  <cols>
    <col min="1" max="1" width="14" hidden="0" customWidth="1"/>
    <col min="2" max="2" width="18" hidden="0" customWidth="1"/>
    <col min="3" max="3" width="14" hidden="0" customWidth="1"/>
    <col min="4" max="4" width="14" hidden="0" customWidth="1"/>
    <col min="5" max="5" width="14" hidden="0" customWidth="1"/>
    <col min="6" max="6" width="14" hidden="0" customWidth="1"/>
    <col min="7" max="7" width="14" hidden="0" customWidth="1"/>
    <col min="8" max="8" width="14" hidden="0" customWidth="1"/>
    <col min="9" max="9" width="14" hidden="0" customWidth="1"/>
    <col min="10" max="10" width="14" hidden="0" customWidth="1"/>
    <col min="11" max="11" width="14" hidden="0" customWidth="1"/>
    <col min="12" max="12" width="14" hidden="0" customWidth="1"/>
    <col min="13" max="13" width="14" hidden="0" customWidth="1"/>
    <col min="14" max="14" width="14" hidden="0" customWidth="1"/>
    <col min="15" max="15" width="14" hidden="0" customWidth="1"/>
    <col min="16" max="16" width="14" hidden="0" customWidth="1"/>
    <col min="17" max="17" width="16" hidden="0" customWidth="1"/>
  </cols>
  <sheetData>
    <row r="1">
      <c r="A1" s="16" t="str">
        <v>Input</v>
      </c>
      <c r="B1" s="16" t="str">
        <v>Value</v>
      </c>
      <c r="C1" s="16" t="str">
        <v>Unit</v>
      </c>
      <c r="D1" s="16" t="str">
        <v>Notes</v>
      </c>
      <c r="E1" t="str"/>
      <c r="F1" t="str"/>
      <c r="G1" t="str"/>
      <c r="H1" t="str"/>
      <c r="I1" t="str"/>
      <c r="J1" t="str"/>
      <c r="K1" t="str"/>
      <c r="L1" t="str"/>
      <c r="M1" t="str"/>
      <c r="N1" t="str"/>
      <c r="O1" t="str"/>
      <c r="P1" t="str"/>
      <c r="Q1" t="str"/>
    </row>
    <row r="2">
      <c r="A2" t="str">
        <v>alpha_side_deg</v>
      </c>
      <c r="B2" t="n">
        <v>0</v>
      </c>
      <c r="C2" t="str">
        <v>deg</v>
      </c>
      <c r="D2" t="str">
        <v>外部/代码输入单位</v>
      </c>
      <c r="E2" t="str"/>
      <c r="F2" t="str"/>
      <c r="G2" t="str"/>
      <c r="H2" t="str"/>
      <c r="I2" t="str"/>
      <c r="J2" t="str"/>
      <c r="K2" t="str"/>
      <c r="L2" t="str"/>
      <c r="M2" t="str"/>
      <c r="N2" t="str"/>
      <c r="O2" t="str"/>
      <c r="P2" t="str"/>
      <c r="Q2" t="str"/>
    </row>
    <row r="3">
      <c r="A3" t="str">
        <v>beta_flex_deg</v>
      </c>
      <c r="B3" t="n">
        <v>0</v>
      </c>
      <c r="C3" t="str">
        <v>deg</v>
      </c>
      <c r="D3" t="str">
        <v>外部/代码输入单位</v>
      </c>
      <c r="E3" t="str"/>
      <c r="F3" t="str"/>
      <c r="G3" t="str"/>
      <c r="H3" t="str"/>
      <c r="I3" t="str"/>
      <c r="J3" t="str"/>
      <c r="K3" t="str"/>
      <c r="L3" t="str"/>
      <c r="M3" t="str"/>
      <c r="N3" t="str"/>
      <c r="O3" t="str"/>
      <c r="P3" t="str"/>
      <c r="Q3" t="str"/>
    </row>
    <row r="4">
      <c r="A4" t="str">
        <v>pulley_diameter</v>
      </c>
      <c r="B4" t="n">
        <v>4</v>
      </c>
      <c r="C4" t="str">
        <v>mm</v>
      </c>
      <c r="D4" t="str">
        <v>Motor_Pos_deg = Delta_L*360/(PI()*d)</v>
      </c>
      <c r="E4" t="str"/>
      <c r="F4" t="str"/>
      <c r="G4" t="str"/>
      <c r="H4" t="str"/>
      <c r="I4" t="str"/>
      <c r="J4" t="str"/>
      <c r="K4" t="str"/>
      <c r="L4" t="str"/>
      <c r="M4" t="str"/>
      <c r="N4" t="str"/>
      <c r="O4" t="str"/>
      <c r="P4" t="str"/>
      <c r="Q4" t="str"/>
    </row>
    <row r="5">
      <c r="A5" t="str"/>
      <c r="B5" t="str"/>
      <c r="C5" t="str"/>
      <c r="D5" t="str"/>
      <c r="E5" t="str"/>
      <c r="F5" t="str"/>
      <c r="G5" t="str"/>
      <c r="H5" t="str"/>
      <c r="I5" t="str"/>
      <c r="J5" t="str"/>
      <c r="K5" t="str"/>
      <c r="L5" t="str"/>
      <c r="M5" t="str"/>
      <c r="N5" t="str"/>
      <c r="O5" t="str"/>
      <c r="P5" t="str"/>
      <c r="Q5" t="str"/>
    </row>
    <row r="6">
      <c r="A6" s="20" t="str">
        <v>Motor_ID</v>
      </c>
      <c r="B6" s="20" t="str">
        <v>Name</v>
      </c>
      <c r="C6" s="20" t="str">
        <v>Region</v>
      </c>
      <c r="D6" s="20" t="str">
        <v>Band_X</v>
      </c>
      <c r="E6" s="20" t="str">
        <v>Band_Y</v>
      </c>
      <c r="F6" s="20" t="str">
        <v>Band_Z</v>
      </c>
      <c r="G6" s="20" t="str">
        <v>Base_X</v>
      </c>
      <c r="H6" s="20" t="str">
        <v>Base_Y</v>
      </c>
      <c r="I6" s="20" t="str">
        <v>Base_Z</v>
      </c>
      <c r="J6" s="20" t="str">
        <v>A</v>
      </c>
      <c r="K6" s="20" t="str">
        <v>X_rot</v>
      </c>
      <c r="L6" s="20" t="str">
        <v>Y_rot</v>
      </c>
      <c r="M6" s="20" t="str">
        <v>Z_rot</v>
      </c>
      <c r="N6" s="20" t="str">
        <v>L_mm</v>
      </c>
      <c r="O6" s="20" t="str">
        <v>L0_mm</v>
      </c>
      <c r="P6" s="20" t="str">
        <v>Delta_L_mm</v>
      </c>
      <c r="Q6" s="20" t="str">
        <v>Motor_Pos_deg</v>
      </c>
    </row>
    <row r="7">
      <c r="A7" s="9" t="n">
        <v>17</v>
      </c>
      <c r="B7" s="9" t="str">
        <v>食指指浅屈肌</v>
      </c>
      <c r="C7" s="9" t="str">
        <v>Front</v>
      </c>
      <c r="D7" s="9" t="n">
        <v>31.007</v>
      </c>
      <c r="E7" s="9" t="n">
        <v>0</v>
      </c>
      <c r="F7" s="9" t="n">
        <v>-17.75</v>
      </c>
      <c r="G7" s="9" t="n">
        <v>0</v>
      </c>
      <c r="H7" s="9" t="n">
        <v>11.691</v>
      </c>
      <c r="I7" s="9" t="n">
        <v>-6.75</v>
      </c>
      <c r="J7" s="9" t="n">
        <f>16.000+7.010*COS(RADIANS($B$3))+F7*SIN(RADIANS($B$3))</f>
        <v>23.009999999999998</v>
      </c>
      <c r="K7" s="9" t="n">
        <f>7.997+J7*COS(RADIANS($B$2))-E7*SIN(RADIANS($B$2))</f>
        <v>31.006999999999998</v>
      </c>
      <c r="L7" s="9" t="n">
        <f>J7*SIN(RADIANS($B$2))+E7*COS(RADIANS($B$2))</f>
        <v>0</v>
      </c>
      <c r="M7" s="9" t="n">
        <f>-7.010*SIN(RADIANS($B$3))+F7*COS(RADIANS($B$3))</f>
        <v>-17.75</v>
      </c>
      <c r="N7" s="9" t="n">
        <f>SQRT(K7^2+(L7-H7)^2+(M7-I7)^2)</f>
        <v>34.91580630602707</v>
      </c>
      <c r="O7" s="9" t="n">
        <f>SQRT(D7^2+(E7-H7)^2+(F7-I7)^2)</f>
        <v>34.91580630602707</v>
      </c>
      <c r="P7" s="9" t="n">
        <f>N7-O7</f>
        <v>0</v>
      </c>
      <c r="Q7" s="9" t="n">
        <f>P7*360/(PI()*$B$4)</f>
        <v>0</v>
      </c>
    </row>
    <row r="8">
      <c r="A8" s="9" t="n">
        <v>2</v>
      </c>
      <c r="B8" s="9" t="str">
        <v>中指指浅屈肌</v>
      </c>
      <c r="C8" s="9" t="str">
        <v>Front</v>
      </c>
      <c r="D8" s="9" t="n">
        <v>31.007</v>
      </c>
      <c r="E8" s="9" t="n">
        <v>-1.5</v>
      </c>
      <c r="F8" s="9" t="n">
        <v>-15.25</v>
      </c>
      <c r="G8" s="9" t="n">
        <v>0</v>
      </c>
      <c r="H8" s="9" t="n">
        <v>-12.697</v>
      </c>
      <c r="I8" s="9" t="n">
        <v>-8.89</v>
      </c>
      <c r="J8" s="9" t="n">
        <f>16.000+7.010*COS(RADIANS($B$3))+F8*SIN(RADIANS($B$3))</f>
        <v>23.009999999999998</v>
      </c>
      <c r="K8" s="9" t="n">
        <f>7.997+J8*COS(RADIANS($B$2))-E8*SIN(RADIANS($B$2))</f>
        <v>31.006999999999998</v>
      </c>
      <c r="L8" s="9" t="n">
        <f>J8*SIN(RADIANS($B$2))+E8*COS(RADIANS($B$2))</f>
        <v>-1.5</v>
      </c>
      <c r="M8" s="9" t="n">
        <f>-7.010*SIN(RADIANS($B$3))+F8*COS(RADIANS($B$3))</f>
        <v>-15.25</v>
      </c>
      <c r="N8" s="9" t="n">
        <f>SQRT(K8^2+(L8-H8)^2+(M8-I8)^2)</f>
        <v>33.574640102315314</v>
      </c>
      <c r="O8" s="9" t="n">
        <f>SQRT(D8^2+(E8-H8)^2+(F8-I8)^2)</f>
        <v>33.57464010231532</v>
      </c>
      <c r="P8" s="9" t="n">
        <f>N8-O8</f>
        <v>-7.105427357601002e-15</v>
      </c>
      <c r="Q8" s="9" t="n">
        <f>P8*360/(PI()*$B$4)</f>
        <v>-2.0355549961366507e-13</v>
      </c>
    </row>
    <row r="9">
      <c r="A9" s="9" t="n">
        <v>3</v>
      </c>
      <c r="B9" s="9" t="str">
        <v>无名指屈肌</v>
      </c>
      <c r="C9" s="9" t="str">
        <v>Front</v>
      </c>
      <c r="D9" s="9" t="n">
        <v>31.007</v>
      </c>
      <c r="E9" s="9" t="n">
        <v>-3</v>
      </c>
      <c r="F9" s="9" t="n">
        <v>-17.75</v>
      </c>
      <c r="G9" s="9" t="n">
        <v>0</v>
      </c>
      <c r="H9" s="9" t="n">
        <v>-11.691</v>
      </c>
      <c r="I9" s="9" t="n">
        <v>-6.75</v>
      </c>
      <c r="J9" s="9" t="n">
        <f>16.000+7.010*COS(RADIANS($B$3))+F9*SIN(RADIANS($B$3))</f>
        <v>23.009999999999998</v>
      </c>
      <c r="K9" s="9" t="n">
        <f>7.997+J9*COS(RADIANS($B$2))-E9*SIN(RADIANS($B$2))</f>
        <v>31.006999999999998</v>
      </c>
      <c r="L9" s="9" t="n">
        <f>J9*SIN(RADIANS($B$2))+E9*COS(RADIANS($B$2))</f>
        <v>-3</v>
      </c>
      <c r="M9" s="9" t="n">
        <f>-7.010*SIN(RADIANS($B$3))+F9*COS(RADIANS($B$3))</f>
        <v>-17.75</v>
      </c>
      <c r="N9" s="9" t="n">
        <f>SQRT(K9^2+(L9-H9)^2+(M9-I9)^2)</f>
        <v>34.02892196352979</v>
      </c>
      <c r="O9" s="9" t="n">
        <f>SQRT(D9^2+(E9-H9)^2+(F9-I9)^2)</f>
        <v>34.02892196352979</v>
      </c>
      <c r="P9" s="9" t="n">
        <f>N9-O9</f>
        <v>0</v>
      </c>
      <c r="Q9" s="9" t="n">
        <f>P9*360/(PI()*$B$4)</f>
        <v>0</v>
      </c>
    </row>
    <row r="10">
      <c r="A10" s="9" t="n">
        <v>27</v>
      </c>
      <c r="B10" s="9" t="str">
        <v>小指屈肌</v>
      </c>
      <c r="C10" s="9" t="str">
        <v>Front</v>
      </c>
      <c r="D10" s="9" t="n">
        <v>31.007</v>
      </c>
      <c r="E10" s="9" t="n">
        <v>-4.5</v>
      </c>
      <c r="F10" s="9" t="n">
        <v>-15.25</v>
      </c>
      <c r="G10" s="9" t="n">
        <v>0</v>
      </c>
      <c r="H10" s="9" t="n">
        <v>-14.048</v>
      </c>
      <c r="I10" s="9" t="n">
        <v>-6.551</v>
      </c>
      <c r="J10" s="9" t="n">
        <f>16.000+7.010*COS(RADIANS($B$3))+F10*SIN(RADIANS($B$3))</f>
        <v>23.009999999999998</v>
      </c>
      <c r="K10" s="9" t="n">
        <f>7.997+J10*COS(RADIANS($B$2))-E10*SIN(RADIANS($B$2))</f>
        <v>31.006999999999998</v>
      </c>
      <c r="L10" s="9" t="n">
        <f>J10*SIN(RADIANS($B$2))+E10*COS(RADIANS($B$2))</f>
        <v>-4.5</v>
      </c>
      <c r="M10" s="9" t="n">
        <f>-7.010*SIN(RADIANS($B$3))+F10*COS(RADIANS($B$3))</f>
        <v>-15.25</v>
      </c>
      <c r="N10" s="9" t="n">
        <f>SQRT(K10^2+(L10-H10)^2+(M10-I10)^2)</f>
        <v>33.589744774261085</v>
      </c>
      <c r="O10" s="9" t="n">
        <f>SQRT(D10^2+(E10-H10)^2+(F10-I10)^2)</f>
        <v>33.589744774261085</v>
      </c>
      <c r="P10" s="9" t="n">
        <f>N10-O10</f>
        <v>0</v>
      </c>
      <c r="Q10" s="9" t="n">
        <f>P10*360/(PI()*$B$4)</f>
        <v>0</v>
      </c>
    </row>
    <row r="11">
      <c r="A11" s="9" t="n">
        <v>19</v>
      </c>
      <c r="B11" s="9" t="str">
        <v>左前手腕</v>
      </c>
      <c r="C11" s="9" t="str">
        <v>Front</v>
      </c>
      <c r="D11" s="9" t="n">
        <v>31.007</v>
      </c>
      <c r="E11" s="9" t="n">
        <v>-19.25</v>
      </c>
      <c r="F11" s="9" t="n">
        <v>-9.25</v>
      </c>
      <c r="G11" s="9" t="n">
        <v>0</v>
      </c>
      <c r="H11" s="9" t="n">
        <v>-15.441</v>
      </c>
      <c r="I11" s="9" t="n">
        <v>-1.351</v>
      </c>
      <c r="J11" s="9" t="n">
        <f>16.000+7.010*COS(RADIANS($B$3))+F11*SIN(RADIANS($B$3))</f>
        <v>23.009999999999998</v>
      </c>
      <c r="K11" s="9" t="n">
        <f>7.997+J11*COS(RADIANS($B$2))-E11*SIN(RADIANS($B$2))</f>
        <v>31.006999999999998</v>
      </c>
      <c r="L11" s="9" t="n">
        <f>J11*SIN(RADIANS($B$2))+E11*COS(RADIANS($B$2))</f>
        <v>-19.25</v>
      </c>
      <c r="M11" s="9" t="n">
        <f>-7.010*SIN(RADIANS($B$3))+F11*COS(RADIANS($B$3))</f>
        <v>-9.25</v>
      </c>
      <c r="N11" s="9" t="n">
        <f>SQRT(K11^2+(L11-H11)^2+(M11-I11)^2)</f>
        <v>32.223232783195414</v>
      </c>
      <c r="O11" s="9" t="n">
        <f>SQRT(D11^2+(E11-H11)^2+(F11-I11)^2)</f>
        <v>32.22323278319542</v>
      </c>
      <c r="P11" s="9" t="n">
        <f>N11-O11</f>
        <v>-7.105427357601002e-15</v>
      </c>
      <c r="Q11" s="9" t="n">
        <f>P11*360/(PI()*$B$4)</f>
        <v>-2.0355549961366507e-13</v>
      </c>
    </row>
    <row r="12">
      <c r="A12" s="9" t="n">
        <v>7</v>
      </c>
      <c r="B12" s="9" t="str">
        <v>无名指外展</v>
      </c>
      <c r="C12" s="9" t="str">
        <v>Back</v>
      </c>
      <c r="D12" s="9" t="n">
        <v>31.007</v>
      </c>
      <c r="E12" s="9" t="n">
        <v>-11.569</v>
      </c>
      <c r="F12" s="9" t="n">
        <v>11.326</v>
      </c>
      <c r="G12" s="9" t="n">
        <v>0</v>
      </c>
      <c r="H12" s="9" t="n">
        <v>-14.048</v>
      </c>
      <c r="I12" s="9" t="n">
        <v>6.551</v>
      </c>
      <c r="J12" s="9" t="n">
        <f>16.000+7.010*COS(RADIANS($B$3))+F12*SIN(RADIANS($B$3))</f>
        <v>23.009999999999998</v>
      </c>
      <c r="K12" s="9" t="n">
        <f>7.997+J12*COS(RADIANS($B$2))-E12*SIN(RADIANS($B$2))</f>
        <v>31.006999999999998</v>
      </c>
      <c r="L12" s="9" t="n">
        <f>J12*SIN(RADIANS($B$2))+E12*COS(RADIANS($B$2))</f>
        <v>-11.569</v>
      </c>
      <c r="M12" s="9" t="n">
        <f>-7.010*SIN(RADIANS($B$3))+F12*COS(RADIANS($B$3))</f>
        <v>11.326</v>
      </c>
      <c r="N12" s="9" t="n">
        <f>SQRT(K12^2+(L12-H12)^2+(M12-I12)^2)</f>
        <v>31.470305289272297</v>
      </c>
      <c r="O12" s="9" t="n">
        <f>SQRT(D12^2+(E12-H12)^2+(F12-I12)^2)</f>
        <v>31.4703052892723</v>
      </c>
      <c r="P12" s="9" t="n">
        <f>N12-O12</f>
        <v>-3.552713678800501e-15</v>
      </c>
      <c r="Q12" s="9" t="n">
        <f>P12*360/(PI()*$B$4)</f>
        <v>-1.0177774980683254e-13</v>
      </c>
    </row>
    <row r="13">
      <c r="A13" s="9" t="n">
        <v>24</v>
      </c>
      <c r="B13" s="9" t="str">
        <v>无名指伸肌</v>
      </c>
      <c r="C13" s="9" t="str">
        <v>Back</v>
      </c>
      <c r="D13" s="9" t="n">
        <v>31.007</v>
      </c>
      <c r="E13" s="9" t="n">
        <v>-6.121</v>
      </c>
      <c r="F13" s="9" t="n">
        <v>14.837</v>
      </c>
      <c r="G13" s="9" t="n">
        <v>0</v>
      </c>
      <c r="H13" s="9" t="n">
        <v>-13.295</v>
      </c>
      <c r="I13" s="9" t="n">
        <v>2.344</v>
      </c>
      <c r="J13" s="9" t="n">
        <f>16.000+7.010*COS(RADIANS($B$3))+F13*SIN(RADIANS($B$3))</f>
        <v>23.009999999999998</v>
      </c>
      <c r="K13" s="9" t="n">
        <f>7.997+J13*COS(RADIANS($B$2))-E13*SIN(RADIANS($B$2))</f>
        <v>31.006999999999998</v>
      </c>
      <c r="L13" s="9" t="n">
        <f>J13*SIN(RADIANS($B$2))+E13*COS(RADIANS($B$2))</f>
        <v>-6.121</v>
      </c>
      <c r="M13" s="9" t="n">
        <f>-7.010*SIN(RADIANS($B$3))+F13*COS(RADIANS($B$3))</f>
        <v>14.837</v>
      </c>
      <c r="N13" s="9" t="n">
        <f>SQRT(K13^2+(L13-H13)^2+(M13-I13)^2)</f>
        <v>34.190281864880845</v>
      </c>
      <c r="O13" s="9" t="n">
        <f>SQRT(D13^2+(E13-H13)^2+(F13-I13)^2)</f>
        <v>34.190281864880845</v>
      </c>
      <c r="P13" s="9" t="n">
        <f>N13-O13</f>
        <v>0</v>
      </c>
      <c r="Q13" s="9" t="n">
        <f>P13*360/(PI()*$B$4)</f>
        <v>0</v>
      </c>
    </row>
    <row r="14">
      <c r="A14" s="9" t="n">
        <v>8</v>
      </c>
      <c r="B14" s="9" t="str">
        <v>无名指内收</v>
      </c>
      <c r="C14" s="9" t="str">
        <v>Back</v>
      </c>
      <c r="D14" s="9" t="n">
        <v>31.007</v>
      </c>
      <c r="E14" s="9" t="n">
        <v>-2.165</v>
      </c>
      <c r="F14" s="9" t="n">
        <v>11.326</v>
      </c>
      <c r="G14" s="9" t="n">
        <v>0</v>
      </c>
      <c r="H14" s="9" t="n">
        <v>-12.686</v>
      </c>
      <c r="I14" s="9" t="n">
        <v>4.617</v>
      </c>
      <c r="J14" s="9" t="n">
        <f>16.000+7.010*COS(RADIANS($B$3))+F14*SIN(RADIANS($B$3))</f>
        <v>23.009999999999998</v>
      </c>
      <c r="K14" s="9" t="n">
        <f>7.997+J14*COS(RADIANS($B$2))-E14*SIN(RADIANS($B$2))</f>
        <v>31.006999999999998</v>
      </c>
      <c r="L14" s="9" t="n">
        <f>J14*SIN(RADIANS($B$2))+E14*COS(RADIANS($B$2))</f>
        <v>-2.165</v>
      </c>
      <c r="M14" s="9" t="n">
        <f>-7.010*SIN(RADIANS($B$3))+F14*COS(RADIANS($B$3))</f>
        <v>11.326</v>
      </c>
      <c r="N14" s="9" t="n">
        <f>SQRT(K14^2+(L14-H14)^2+(M14-I14)^2)</f>
        <v>33.423587045677785</v>
      </c>
      <c r="O14" s="9" t="n">
        <f>SQRT(D14^2+(E14-H14)^2+(F14-I14)^2)</f>
        <v>33.42358704567779</v>
      </c>
      <c r="P14" s="9" t="n">
        <f>N14-O14</f>
        <v>-7.105427357601002e-15</v>
      </c>
      <c r="Q14" s="9" t="n">
        <f>P14*360/(PI()*$B$4)</f>
        <v>-2.0355549961366507e-13</v>
      </c>
    </row>
    <row r="15">
      <c r="A15" s="9" t="n">
        <v>9</v>
      </c>
      <c r="B15" s="9" t="str">
        <v>中指伸肌</v>
      </c>
      <c r="C15" s="9" t="str">
        <v>Back</v>
      </c>
      <c r="D15" s="9" t="n">
        <v>31.007</v>
      </c>
      <c r="E15" s="9" t="n">
        <v>0.335</v>
      </c>
      <c r="F15" s="9" t="n">
        <v>14.779</v>
      </c>
      <c r="G15" s="9" t="n">
        <v>0</v>
      </c>
      <c r="H15" s="9" t="n">
        <v>11.691</v>
      </c>
      <c r="I15" s="9" t="n">
        <v>6.75</v>
      </c>
      <c r="J15" s="9" t="n">
        <f>16.000+7.010*COS(RADIANS($B$3))+F15*SIN(RADIANS($B$3))</f>
        <v>23.009999999999998</v>
      </c>
      <c r="K15" s="9" t="n">
        <f>7.997+J15*COS(RADIANS($B$2))-E15*SIN(RADIANS($B$2))</f>
        <v>31.006999999999998</v>
      </c>
      <c r="L15" s="9" t="n">
        <f>J15*SIN(RADIANS($B$2))+E15*COS(RADIANS($B$2))</f>
        <v>0.335</v>
      </c>
      <c r="M15" s="9" t="n">
        <f>-7.010*SIN(RADIANS($B$3))+F15*COS(RADIANS($B$3))</f>
        <v>14.779</v>
      </c>
      <c r="N15" s="9" t="n">
        <f>SQRT(K15^2+(L15-H15)^2+(M15-I15)^2)</f>
        <v>33.98319622990162</v>
      </c>
      <c r="O15" s="9" t="n">
        <f>SQRT(D15^2+(E15-H15)^2+(F15-I15)^2)</f>
        <v>33.98319622990162</v>
      </c>
      <c r="P15" s="9" t="n">
        <f>N15-O15</f>
        <v>0</v>
      </c>
      <c r="Q15" s="9" t="n">
        <f>P15*360/(PI()*$B$4)</f>
        <v>0</v>
      </c>
    </row>
    <row r="16">
      <c r="A16" s="9" t="n">
        <v>11</v>
      </c>
      <c r="B16" s="9" t="str">
        <v>食指伸肌</v>
      </c>
      <c r="C16" s="9" t="str">
        <v>Back</v>
      </c>
      <c r="D16" s="9" t="n">
        <v>31.007</v>
      </c>
      <c r="E16" s="9" t="n">
        <v>7.36</v>
      </c>
      <c r="F16" s="9" t="n">
        <v>13.735</v>
      </c>
      <c r="G16" s="9" t="n">
        <v>0</v>
      </c>
      <c r="H16" s="9" t="n">
        <v>12.697</v>
      </c>
      <c r="I16" s="9" t="n">
        <v>8.89</v>
      </c>
      <c r="J16" s="9" t="n">
        <f>16.000+7.010*COS(RADIANS($B$3))+F16*SIN(RADIANS($B$3))</f>
        <v>23.009999999999998</v>
      </c>
      <c r="K16" s="9" t="n">
        <f>7.997+J16*COS(RADIANS($B$2))-E16*SIN(RADIANS($B$2))</f>
        <v>31.006999999999998</v>
      </c>
      <c r="L16" s="9" t="n">
        <f>J16*SIN(RADIANS($B$2))+E16*COS(RADIANS($B$2))</f>
        <v>7.36</v>
      </c>
      <c r="M16" s="9" t="n">
        <f>-7.010*SIN(RADIANS($B$3))+F16*COS(RADIANS($B$3))</f>
        <v>13.735</v>
      </c>
      <c r="N16" s="9" t="n">
        <f>SQRT(K16^2+(L16-H16)^2+(M16-I16)^2)</f>
        <v>31.833812888185413</v>
      </c>
      <c r="O16" s="9" t="n">
        <f>SQRT(D16^2+(E16-H16)^2+(F16-I16)^2)</f>
        <v>31.833812888185417</v>
      </c>
      <c r="P16" s="9" t="n">
        <f>N16-O16</f>
        <v>-3.552713678800501e-15</v>
      </c>
      <c r="Q16" s="9" t="n">
        <f>P16*360/(PI()*$B$4)</f>
        <v>-1.0177774980683254e-13</v>
      </c>
    </row>
    <row r="17">
      <c r="A17" s="9" t="n">
        <v>26</v>
      </c>
      <c r="B17" s="9" t="str">
        <v>右后手腕</v>
      </c>
      <c r="C17" s="9" t="str">
        <v>Back</v>
      </c>
      <c r="D17" s="9" t="n">
        <v>31.007</v>
      </c>
      <c r="E17" s="9" t="n">
        <v>11.078</v>
      </c>
      <c r="F17" s="9" t="n">
        <v>13.735</v>
      </c>
      <c r="G17" s="9" t="n">
        <v>0</v>
      </c>
      <c r="H17" s="9" t="n">
        <v>14.048</v>
      </c>
      <c r="I17" s="9" t="n">
        <v>6.551</v>
      </c>
      <c r="J17" s="9" t="n">
        <f>16.000+7.010*COS(RADIANS($B$3))+F17*SIN(RADIANS($B$3))</f>
        <v>23.009999999999998</v>
      </c>
      <c r="K17" s="9" t="n">
        <f>7.997+J17*COS(RADIANS($B$2))-E17*SIN(RADIANS($B$2))</f>
        <v>31.006999999999998</v>
      </c>
      <c r="L17" s="9" t="n">
        <f>J17*SIN(RADIANS($B$2))+E17*COS(RADIANS($B$2))</f>
        <v>11.078</v>
      </c>
      <c r="M17" s="9" t="n">
        <f>-7.010*SIN(RADIANS($B$3))+F17*COS(RADIANS($B$3))</f>
        <v>13.735</v>
      </c>
      <c r="N17" s="9" t="n">
        <f>SQRT(K17^2+(L17-H17)^2+(M17-I17)^2)</f>
        <v>31.966620168544562</v>
      </c>
      <c r="O17" s="9" t="n">
        <f>SQRT(D17^2+(E17-H17)^2+(F17-I17)^2)</f>
        <v>31.966620168544566</v>
      </c>
      <c r="P17" s="9" t="n">
        <f>N17-O17</f>
        <v>-3.552713678800501e-15</v>
      </c>
      <c r="Q17" s="9" t="n">
        <f>P17*360/(PI()*$B$4)</f>
        <v>-1.0177774980683254e-13</v>
      </c>
    </row>
    <row r="18">
      <c r="A18" s="9" t="n">
        <v>20</v>
      </c>
      <c r="B18" s="9" t="str">
        <v>拇短伸肌</v>
      </c>
      <c r="C18" s="9" t="str">
        <v>Back</v>
      </c>
      <c r="D18" s="9" t="n">
        <v>31.007</v>
      </c>
      <c r="E18" s="9" t="n">
        <v>19</v>
      </c>
      <c r="F18" s="9" t="n">
        <v>11.326</v>
      </c>
      <c r="G18" s="9" t="n">
        <v>0</v>
      </c>
      <c r="H18" s="9" t="n">
        <v>15.441</v>
      </c>
      <c r="I18" s="9" t="n">
        <v>1.351</v>
      </c>
      <c r="J18" s="9" t="n">
        <f>16.000+7.010*COS(RADIANS($B$3))+F18*SIN(RADIANS($B$3))</f>
        <v>23.009999999999998</v>
      </c>
      <c r="K18" s="9" t="n">
        <f>7.997+J18*COS(RADIANS($B$2))-E18*SIN(RADIANS($B$2))</f>
        <v>31.006999999999998</v>
      </c>
      <c r="L18" s="9" t="n">
        <f>J18*SIN(RADIANS($B$2))+E18*COS(RADIANS($B$2))</f>
        <v>19</v>
      </c>
      <c r="M18" s="9" t="n">
        <f>-7.010*SIN(RADIANS($B$3))+F18*COS(RADIANS($B$3))</f>
        <v>11.326</v>
      </c>
      <c r="N18" s="9" t="n">
        <f>SQRT(K18^2+(L18-H18)^2+(M18-I18)^2)</f>
        <v>32.765853491096486</v>
      </c>
      <c r="O18" s="9" t="n">
        <f>SQRT(D18^2+(E18-H18)^2+(F18-I18)^2)</f>
        <v>32.76585349109649</v>
      </c>
      <c r="P18" s="9" t="n">
        <f>N18-O18</f>
        <v>-7.105427357601002e-15</v>
      </c>
      <c r="Q18" s="9" t="n">
        <f>P18*360/(PI()*$B$4)</f>
        <v>-2.0355549961366507e-13</v>
      </c>
    </row>
    <row r="19">
      <c r="A19" s="9" t="n">
        <v>14</v>
      </c>
      <c r="B19" s="9" t="str">
        <v>食指外展</v>
      </c>
      <c r="C19" s="9" t="str">
        <v>Front</v>
      </c>
      <c r="D19" s="9" t="n">
        <v>31.007</v>
      </c>
      <c r="E19" s="9" t="n">
        <v>3</v>
      </c>
      <c r="F19" s="9" t="n">
        <v>-12.75</v>
      </c>
      <c r="G19" s="9" t="n">
        <v>0</v>
      </c>
      <c r="H19" s="9" t="n">
        <v>12.697</v>
      </c>
      <c r="I19" s="9" t="n">
        <v>-8.89</v>
      </c>
      <c r="J19" s="9" t="n">
        <f>16.000+7.010*COS(RADIANS($B$3))+F19*SIN(RADIANS($B$3))</f>
        <v>23.009999999999998</v>
      </c>
      <c r="K19" s="9" t="n">
        <f>7.997+J19*COS(RADIANS($B$2))-E19*SIN(RADIANS($B$2))</f>
        <v>31.006999999999998</v>
      </c>
      <c r="L19" s="9" t="n">
        <f>J19*SIN(RADIANS($B$2))+E19*COS(RADIANS($B$2))</f>
        <v>3</v>
      </c>
      <c r="M19" s="9" t="n">
        <f>-7.010*SIN(RADIANS($B$3))+F19*COS(RADIANS($B$3))</f>
        <v>-12.75</v>
      </c>
      <c r="N19" s="9" t="n">
        <f>SQRT(K19^2+(L19-H19)^2+(M19-I19)^2)</f>
        <v>32.71644017921265</v>
      </c>
      <c r="O19" s="9" t="n">
        <f>SQRT(D19^2+(E19-H19)^2+(F19-I19)^2)</f>
        <v>32.716440179212654</v>
      </c>
      <c r="P19" s="9" t="n">
        <f>N19-O19</f>
        <v>-7.105427357601002e-15</v>
      </c>
      <c r="Q19" s="9" t="n">
        <f>P19*360/(PI()*$B$4)</f>
        <v>-2.0355549961366507e-13</v>
      </c>
    </row>
    <row r="20">
      <c r="A20" s="9" t="n">
        <v>18</v>
      </c>
      <c r="B20" s="9" t="str">
        <v>拇长屈肌</v>
      </c>
      <c r="C20" s="9" t="str">
        <v>Front</v>
      </c>
      <c r="D20" s="9" t="n">
        <v>31.007</v>
      </c>
      <c r="E20" s="9" t="n">
        <v>4.5</v>
      </c>
      <c r="F20" s="9" t="n">
        <v>-15.25</v>
      </c>
      <c r="G20" s="9" t="n">
        <v>0</v>
      </c>
      <c r="H20" s="9" t="n">
        <v>14.048</v>
      </c>
      <c r="I20" s="9" t="n">
        <v>-6.551</v>
      </c>
      <c r="J20" s="9" t="n">
        <f>16.000+7.010*COS(RADIANS($B$3))+F20*SIN(RADIANS($B$3))</f>
        <v>23.009999999999998</v>
      </c>
      <c r="K20" s="9" t="n">
        <f>7.997+J20*COS(RADIANS($B$2))-E20*SIN(RADIANS($B$2))</f>
        <v>31.006999999999998</v>
      </c>
      <c r="L20" s="9" t="n">
        <f>J20*SIN(RADIANS($B$2))+E20*COS(RADIANS($B$2))</f>
        <v>4.5</v>
      </c>
      <c r="M20" s="9" t="n">
        <f>-7.010*SIN(RADIANS($B$3))+F20*COS(RADIANS($B$3))</f>
        <v>-15.25</v>
      </c>
      <c r="N20" s="9" t="n">
        <f>SQRT(K20^2+(L20-H20)^2+(M20-I20)^2)</f>
        <v>33.589744774261085</v>
      </c>
      <c r="O20" s="9" t="n">
        <f>SQRT(D20^2+(E20-H20)^2+(F20-I20)^2)</f>
        <v>33.589744774261085</v>
      </c>
      <c r="P20" s="9" t="n">
        <f>N20-O20</f>
        <v>0</v>
      </c>
      <c r="Q20" s="9" t="n">
        <f>P20*360/(PI()*$B$4)</f>
        <v>0</v>
      </c>
    </row>
    <row r="21">
      <c r="A21" s="9" t="n">
        <v>15</v>
      </c>
      <c r="B21" s="9" t="str">
        <v>食指内收</v>
      </c>
      <c r="C21" s="9" t="str">
        <v>Front</v>
      </c>
      <c r="D21" s="9" t="n">
        <v>31.007</v>
      </c>
      <c r="E21" s="9" t="n">
        <v>0</v>
      </c>
      <c r="F21" s="9" t="n">
        <v>-12.75</v>
      </c>
      <c r="G21" s="9" t="n">
        <v>0</v>
      </c>
      <c r="H21" s="9" t="n">
        <v>-12.686</v>
      </c>
      <c r="I21" s="9" t="n">
        <v>-4.617</v>
      </c>
      <c r="J21" s="9" t="n">
        <f>16.000+7.010*COS(RADIANS($B$3))+F21*SIN(RADIANS($B$3))</f>
        <v>23.009999999999998</v>
      </c>
      <c r="K21" s="9" t="n">
        <f>7.997+J21*COS(RADIANS($B$2))-E21*SIN(RADIANS($B$2))</f>
        <v>31.006999999999998</v>
      </c>
      <c r="L21" s="9" t="n">
        <f>J21*SIN(RADIANS($B$2))+E21*COS(RADIANS($B$2))</f>
        <v>0</v>
      </c>
      <c r="M21" s="9" t="n">
        <f>-7.010*SIN(RADIANS($B$3))+F21*COS(RADIANS($B$3))</f>
        <v>-12.75</v>
      </c>
      <c r="N21" s="9" t="n">
        <f>SQRT(K21^2+(L21-H21)^2+(M21-I21)^2)</f>
        <v>34.4748362432659</v>
      </c>
      <c r="O21" s="9" t="n">
        <f>SQRT(D21^2+(E21-H21)^2+(F21-I21)^2)</f>
        <v>34.4748362432659</v>
      </c>
      <c r="P21" s="9" t="n">
        <f>N21-O21</f>
        <v>0</v>
      </c>
      <c r="Q21" s="9" t="n">
        <f>P21*360/(PI()*$B$4)</f>
        <v>0</v>
      </c>
    </row>
    <row r="22">
      <c r="A22" s="9" t="n">
        <v>16</v>
      </c>
      <c r="B22" s="9" t="str">
        <v>中指指深屈肌</v>
      </c>
      <c r="C22" s="9" t="str">
        <v>Front</v>
      </c>
      <c r="D22" s="9" t="n">
        <v>31.007</v>
      </c>
      <c r="E22" s="9" t="n">
        <v>1.5</v>
      </c>
      <c r="F22" s="9" t="n">
        <v>-15.25</v>
      </c>
      <c r="G22" s="9" t="n">
        <v>0</v>
      </c>
      <c r="H22" s="9" t="n">
        <v>12.686</v>
      </c>
      <c r="I22" s="9" t="n">
        <v>-4.617</v>
      </c>
      <c r="J22" s="9" t="n">
        <f>16.000+7.010*COS(RADIANS($B$3))+F22*SIN(RADIANS($B$3))</f>
        <v>23.009999999999998</v>
      </c>
      <c r="K22" s="9" t="n">
        <f>7.997+J22*COS(RADIANS($B$2))-E22*SIN(RADIANS($B$2))</f>
        <v>31.006999999999998</v>
      </c>
      <c r="L22" s="9" t="n">
        <f>J22*SIN(RADIANS($B$2))+E22*COS(RADIANS($B$2))</f>
        <v>1.5</v>
      </c>
      <c r="M22" s="9" t="n">
        <f>-7.010*SIN(RADIANS($B$3))+F22*COS(RADIANS($B$3))</f>
        <v>-15.25</v>
      </c>
      <c r="N22" s="9" t="n">
        <f>SQRT(K22^2+(L22-H22)^2+(M22-I22)^2)</f>
        <v>34.63555014721146</v>
      </c>
      <c r="O22" s="9" t="n">
        <f>SQRT(D22^2+(E22-H22)^2+(F22-I22)^2)</f>
        <v>34.63555014721146</v>
      </c>
      <c r="P22" s="9" t="n">
        <f>N22-O22</f>
        <v>0</v>
      </c>
      <c r="Q22" s="9" t="n">
        <f>P22*360/(PI()*$B$4)</f>
        <v>0</v>
      </c>
    </row>
    <row r="23">
      <c r="A23" s="9" t="n">
        <v>1</v>
      </c>
      <c r="B23" s="9" t="str">
        <v>食指指深屈肌</v>
      </c>
      <c r="C23" s="9" t="str">
        <v>Front</v>
      </c>
      <c r="D23" s="9" t="n">
        <v>31.007</v>
      </c>
      <c r="E23" s="9" t="n">
        <v>3</v>
      </c>
      <c r="F23" s="9" t="n">
        <v>-17.75</v>
      </c>
      <c r="G23" s="9" t="n">
        <v>0</v>
      </c>
      <c r="H23" s="9" t="n">
        <v>13.295</v>
      </c>
      <c r="I23" s="9" t="n">
        <v>-2.344</v>
      </c>
      <c r="J23" s="9" t="n">
        <f>16.000+7.010*COS(RADIANS($B$3))+F23*SIN(RADIANS($B$3))</f>
        <v>23.009999999999998</v>
      </c>
      <c r="K23" s="9" t="n">
        <f>7.997+J23*COS(RADIANS($B$2))-E23*SIN(RADIANS($B$2))</f>
        <v>31.006999999999998</v>
      </c>
      <c r="L23" s="9" t="n">
        <f>J23*SIN(RADIANS($B$2))+E23*COS(RADIANS($B$2))</f>
        <v>3</v>
      </c>
      <c r="M23" s="9" t="n">
        <f>-7.010*SIN(RADIANS($B$3))+F23*COS(RADIANS($B$3))</f>
        <v>-17.75</v>
      </c>
      <c r="N23" s="9" t="n">
        <f>SQRT(K23^2+(L23-H23)^2+(M23-I23)^2)</f>
        <v>36.12154357166925</v>
      </c>
      <c r="O23" s="9" t="n">
        <f>SQRT(D23^2+(E23-H23)^2+(F23-I23)^2)</f>
        <v>36.12154357166925</v>
      </c>
      <c r="P23" s="9" t="n">
        <f>N23-O23</f>
        <v>0</v>
      </c>
      <c r="Q23" s="9" t="n">
        <f>P23*360/(PI()*$B$4)</f>
        <v>0</v>
      </c>
    </row>
    <row r="24">
      <c r="A24" s="9" t="n">
        <v>5</v>
      </c>
      <c r="B24" s="9" t="str">
        <v>右前手腕</v>
      </c>
      <c r="C24" s="9" t="str">
        <v>Front</v>
      </c>
      <c r="D24" s="9" t="n">
        <v>31.007</v>
      </c>
      <c r="E24" s="9" t="n">
        <v>13.5</v>
      </c>
      <c r="F24" s="9" t="n">
        <v>-10.25</v>
      </c>
      <c r="G24" s="9" t="n">
        <v>0</v>
      </c>
      <c r="H24" s="9" t="n">
        <v>14.972</v>
      </c>
      <c r="I24" s="9" t="n">
        <v>-4.012</v>
      </c>
      <c r="J24" s="9" t="n">
        <f>16.000+7.010*COS(RADIANS($B$3))+F24*SIN(RADIANS($B$3))</f>
        <v>23.009999999999998</v>
      </c>
      <c r="K24" s="9" t="n">
        <f>7.997+J24*COS(RADIANS($B$2))-E24*SIN(RADIANS($B$2))</f>
        <v>31.006999999999998</v>
      </c>
      <c r="L24" s="9" t="n">
        <f>J24*SIN(RADIANS($B$2))+E24*COS(RADIANS($B$2))</f>
        <v>13.5</v>
      </c>
      <c r="M24" s="9" t="n">
        <f>-7.010*SIN(RADIANS($B$3))+F24*COS(RADIANS($B$3))</f>
        <v>-10.25</v>
      </c>
      <c r="N24" s="9" t="n">
        <f>SQRT(K24^2+(L24-H24)^2+(M24-I24)^2)</f>
        <v>31.66249322147578</v>
      </c>
      <c r="O24" s="9" t="n">
        <f>SQRT(D24^2+(E24-H24)^2+(F24-I24)^2)</f>
        <v>31.662493221475785</v>
      </c>
      <c r="P24" s="9" t="n">
        <f>N24-O24</f>
        <v>-3.552713678800501e-15</v>
      </c>
      <c r="Q24" s="9" t="n">
        <f>P24*360/(PI()*$B$4)</f>
        <v>-1.0177774980683254e-13</v>
      </c>
    </row>
    <row r="25">
      <c r="A25" s="9" t="n">
        <v>13</v>
      </c>
      <c r="B25" s="9" t="str">
        <v>拇展肌</v>
      </c>
      <c r="C25" s="9" t="str">
        <v>Front</v>
      </c>
      <c r="D25" s="9" t="n">
        <v>31.007</v>
      </c>
      <c r="E25" s="9" t="n">
        <v>19</v>
      </c>
      <c r="F25" s="9" t="n">
        <v>-17</v>
      </c>
      <c r="G25" s="9" t="n">
        <v>0</v>
      </c>
      <c r="H25" s="9" t="n">
        <v>15.441</v>
      </c>
      <c r="I25" s="9" t="n">
        <v>-1.351</v>
      </c>
      <c r="J25" s="9" t="n">
        <f>16.000+7.010*COS(RADIANS($B$3))+F25*SIN(RADIANS($B$3))</f>
        <v>23.009999999999998</v>
      </c>
      <c r="K25" s="9" t="n">
        <f>7.997+J25*COS(RADIANS($B$2))-E25*SIN(RADIANS($B$2))</f>
        <v>31.006999999999998</v>
      </c>
      <c r="L25" s="9" t="n">
        <f>J25*SIN(RADIANS($B$2))+E25*COS(RADIANS($B$2))</f>
        <v>19</v>
      </c>
      <c r="M25" s="9" t="n">
        <f>-7.010*SIN(RADIANS($B$3))+F25*COS(RADIANS($B$3))</f>
        <v>-17</v>
      </c>
      <c r="N25" s="9" t="n">
        <f>SQRT(K25^2+(L25-H25)^2+(M25-I25)^2)</f>
        <v>34.9140620810584</v>
      </c>
      <c r="O25" s="9" t="n">
        <f>SQRT(D25^2+(E25-H25)^2+(F25-I25)^2)</f>
        <v>34.914062081058404</v>
      </c>
      <c r="P25" s="9" t="n">
        <f>N25-O25</f>
        <v>-7.105427357601002e-15</v>
      </c>
      <c r="Q25" s="9" t="n">
        <f>P25*360/(PI()*$B$4)</f>
        <v>-2.0355549961366507e-13</v>
      </c>
    </row>
    <row r="26">
      <c r="A26" s="9" t="n">
        <v>21</v>
      </c>
      <c r="B26" s="9" t="str">
        <v>拇长伸肌</v>
      </c>
      <c r="C26" s="9" t="str">
        <v>Back</v>
      </c>
      <c r="D26" s="9" t="n">
        <v>31.007</v>
      </c>
      <c r="E26" s="9" t="n">
        <v>12.635</v>
      </c>
      <c r="F26" s="9" t="n">
        <v>11.326</v>
      </c>
      <c r="G26" s="9" t="n">
        <v>0</v>
      </c>
      <c r="H26" s="9" t="n">
        <v>14.972</v>
      </c>
      <c r="I26" s="9" t="n">
        <v>4.012</v>
      </c>
      <c r="J26" s="9" t="n">
        <f>16.000+7.010*COS(RADIANS($B$3))+F26*SIN(RADIANS($B$3))</f>
        <v>23.009999999999998</v>
      </c>
      <c r="K26" s="9" t="n">
        <f>7.997+J26*COS(RADIANS($B$2))-E26*SIN(RADIANS($B$2))</f>
        <v>31.006999999999998</v>
      </c>
      <c r="L26" s="9" t="n">
        <f>J26*SIN(RADIANS($B$2))+E26*COS(RADIANS($B$2))</f>
        <v>12.635</v>
      </c>
      <c r="M26" s="9" t="n">
        <f>-7.010*SIN(RADIANS($B$3))+F26*COS(RADIANS($B$3))</f>
        <v>11.326</v>
      </c>
      <c r="N26" s="9" t="n">
        <f>SQRT(K26^2+(L26-H26)^2+(M26-I26)^2)</f>
        <v>31.94354729831989</v>
      </c>
      <c r="O26" s="9" t="n">
        <f>SQRT(D26^2+(E26-H26)^2+(F26-I26)^2)</f>
        <v>31.943547298319892</v>
      </c>
      <c r="P26" s="9" t="n">
        <f>N26-O26</f>
        <v>-3.552713678800501e-15</v>
      </c>
      <c r="Q26" s="9" t="n">
        <f>P26*360/(PI()*$B$4)</f>
        <v>-1.0177774980683254e-13</v>
      </c>
    </row>
    <row r="27">
      <c r="A27" s="9" t="n">
        <v>22</v>
      </c>
      <c r="B27" s="9" t="str">
        <v>拇收肌</v>
      </c>
      <c r="C27" s="9" t="str">
        <v>Back</v>
      </c>
      <c r="D27" s="9" t="n">
        <v>31.007</v>
      </c>
      <c r="E27" s="9" t="n">
        <v>9.684</v>
      </c>
      <c r="F27" s="9" t="n">
        <v>11.326</v>
      </c>
      <c r="G27" s="9" t="n">
        <v>0</v>
      </c>
      <c r="H27" s="9" t="n">
        <v>13.295</v>
      </c>
      <c r="I27" s="9" t="n">
        <v>2.344</v>
      </c>
      <c r="J27" s="9" t="n">
        <f>16.000+7.010*COS(RADIANS($B$3))+F27*SIN(RADIANS($B$3))</f>
        <v>23.009999999999998</v>
      </c>
      <c r="K27" s="9" t="n">
        <f>7.997+J27*COS(RADIANS($B$2))-E27*SIN(RADIANS($B$2))</f>
        <v>31.006999999999998</v>
      </c>
      <c r="L27" s="9" t="n">
        <f>J27*SIN(RADIANS($B$2))+E27*COS(RADIANS($B$2))</f>
        <v>9.684</v>
      </c>
      <c r="M27" s="9" t="n">
        <f>-7.010*SIN(RADIANS($B$3))+F27*COS(RADIANS($B$3))</f>
        <v>11.326</v>
      </c>
      <c r="N27" s="9" t="n">
        <f>SQRT(K27^2+(L27-H27)^2+(M27-I27)^2)</f>
        <v>32.48306780462707</v>
      </c>
      <c r="O27" s="9" t="n">
        <f>SQRT(D27^2+(E27-H27)^2+(F27-I27)^2)</f>
        <v>32.483067804627076</v>
      </c>
      <c r="P27" s="9" t="n">
        <f>N27-O27</f>
        <v>-7.105427357601002e-15</v>
      </c>
      <c r="Q27" s="9" t="n">
        <f>P27*360/(PI()*$B$4)</f>
        <v>-2.0355549961366507e-13</v>
      </c>
    </row>
    <row r="28">
      <c r="A28" s="9" t="n">
        <v>10</v>
      </c>
      <c r="B28" s="9" t="str">
        <v>中指外展</v>
      </c>
      <c r="C28" s="9" t="str">
        <v>Back</v>
      </c>
      <c r="D28" s="9" t="n">
        <v>31.007</v>
      </c>
      <c r="E28" s="9" t="n">
        <v>5.61</v>
      </c>
      <c r="F28" s="9" t="n">
        <v>11.326</v>
      </c>
      <c r="G28" s="9" t="n">
        <v>0</v>
      </c>
      <c r="H28" s="9" t="n">
        <v>12.686</v>
      </c>
      <c r="I28" s="9" t="n">
        <v>4.617</v>
      </c>
      <c r="J28" s="9" t="n">
        <f>16.000+7.010*COS(RADIANS($B$3))+F28*SIN(RADIANS($B$3))</f>
        <v>23.009999999999998</v>
      </c>
      <c r="K28" s="9" t="n">
        <f>7.997+J28*COS(RADIANS($B$2))-E28*SIN(RADIANS($B$2))</f>
        <v>31.006999999999998</v>
      </c>
      <c r="L28" s="9" t="n">
        <f>J28*SIN(RADIANS($B$2))+E28*COS(RADIANS($B$2))</f>
        <v>5.61</v>
      </c>
      <c r="M28" s="9" t="n">
        <f>-7.010*SIN(RADIANS($B$3))+F28*COS(RADIANS($B$3))</f>
        <v>11.326</v>
      </c>
      <c r="N28" s="9" t="n">
        <f>SQRT(K28^2+(L28-H28)^2+(M28-I28)^2)</f>
        <v>32.50406906834897</v>
      </c>
      <c r="O28" s="9" t="n">
        <f>SQRT(D28^2+(E28-H28)^2+(F28-I28)^2)</f>
        <v>32.50406906834897</v>
      </c>
      <c r="P28" s="9" t="n">
        <f>N28-O28</f>
        <v>0</v>
      </c>
      <c r="Q28" s="9" t="n">
        <f>P28*360/(PI()*$B$4)</f>
        <v>0</v>
      </c>
    </row>
    <row r="29">
      <c r="A29" s="9" t="n">
        <v>23</v>
      </c>
      <c r="B29" s="9" t="str">
        <v>中指内收</v>
      </c>
      <c r="C29" s="9" t="str">
        <v>Back</v>
      </c>
      <c r="D29" s="9" t="n">
        <v>31.007</v>
      </c>
      <c r="E29" s="9" t="n">
        <v>1.835</v>
      </c>
      <c r="F29" s="9" t="n">
        <v>11.326</v>
      </c>
      <c r="G29" s="9" t="n">
        <v>0</v>
      </c>
      <c r="H29" s="9" t="n">
        <v>-11.691</v>
      </c>
      <c r="I29" s="9" t="n">
        <v>6.75</v>
      </c>
      <c r="J29" s="9" t="n">
        <f>16.000+7.010*COS(RADIANS($B$3))+F29*SIN(RADIANS($B$3))</f>
        <v>23.009999999999998</v>
      </c>
      <c r="K29" s="9" t="n">
        <f>7.997+J29*COS(RADIANS($B$2))-E29*SIN(RADIANS($B$2))</f>
        <v>31.006999999999998</v>
      </c>
      <c r="L29" s="9" t="n">
        <f>J29*SIN(RADIANS($B$2))+E29*COS(RADIANS($B$2))</f>
        <v>1.835</v>
      </c>
      <c r="M29" s="9" t="n">
        <f>-7.010*SIN(RADIANS($B$3))+F29*COS(RADIANS($B$3))</f>
        <v>11.326</v>
      </c>
      <c r="N29" s="9" t="n">
        <f>SQRT(K29^2+(L29-H29)^2+(M29-I29)^2)</f>
        <v>34.136878899512766</v>
      </c>
      <c r="O29" s="9" t="n">
        <f>SQRT(D29^2+(E29-H29)^2+(F29-I29)^2)</f>
        <v>34.136878899512766</v>
      </c>
      <c r="P29" s="9" t="n">
        <f>N29-O29</f>
        <v>0</v>
      </c>
      <c r="Q29" s="9" t="n">
        <f>P29*360/(PI()*$B$4)</f>
        <v>0</v>
      </c>
    </row>
    <row r="30">
      <c r="A30" s="9" t="n">
        <v>25</v>
      </c>
      <c r="B30" s="9" t="str">
        <v>小指伸肌</v>
      </c>
      <c r="C30" s="9" t="str">
        <v>Back</v>
      </c>
      <c r="D30" s="9" t="n">
        <v>31.007</v>
      </c>
      <c r="E30" s="9" t="n">
        <v>-10</v>
      </c>
      <c r="F30" s="9" t="n">
        <v>15</v>
      </c>
      <c r="G30" s="9" t="n">
        <v>0</v>
      </c>
      <c r="H30" s="9" t="n">
        <v>-12.697</v>
      </c>
      <c r="I30" s="9" t="n">
        <v>8.89</v>
      </c>
      <c r="J30" s="9" t="n">
        <f>16.000+7.010*COS(RADIANS($B$3))+F30*SIN(RADIANS($B$3))</f>
        <v>23.009999999999998</v>
      </c>
      <c r="K30" s="9" t="n">
        <f>7.997+J30*COS(RADIANS($B$2))-E30*SIN(RADIANS($B$2))</f>
        <v>31.006999999999998</v>
      </c>
      <c r="L30" s="9" t="n">
        <f>J30*SIN(RADIANS($B$2))+E30*COS(RADIANS($B$2))</f>
        <v>-10</v>
      </c>
      <c r="M30" s="9" t="n">
        <f>-7.010*SIN(RADIANS($B$3))+F30*COS(RADIANS($B$3))</f>
        <v>15</v>
      </c>
      <c r="N30" s="9" t="n">
        <f>SQRT(K30^2+(L30-H30)^2+(M30-I30)^2)</f>
        <v>31.718132952618756</v>
      </c>
      <c r="O30" s="9" t="n">
        <f>SQRT(D30^2+(E30-H30)^2+(F30-I30)^2)</f>
        <v>31.71813295261876</v>
      </c>
      <c r="P30" s="9" t="n">
        <f>N30-O30</f>
        <v>-3.552713678800501e-15</v>
      </c>
      <c r="Q30" s="9" t="n">
        <f>P30*360/(PI()*$B$4)</f>
        <v>-1.0177774980683254e-13</v>
      </c>
    </row>
    <row r="31">
      <c r="A31" s="9" t="n">
        <v>12</v>
      </c>
      <c r="B31" s="9" t="str">
        <v>左后手腕</v>
      </c>
      <c r="C31" s="9" t="str">
        <v>Back</v>
      </c>
      <c r="D31" s="9" t="n">
        <v>31.007</v>
      </c>
      <c r="E31" s="9" t="n">
        <v>-18</v>
      </c>
      <c r="F31" s="9" t="n">
        <v>10.25</v>
      </c>
      <c r="G31" s="9" t="n">
        <v>0</v>
      </c>
      <c r="H31" s="9" t="n">
        <v>-14.972</v>
      </c>
      <c r="I31" s="9" t="n">
        <v>4.012</v>
      </c>
      <c r="J31" s="9" t="n">
        <f>16.000+7.010*COS(RADIANS($B$3))+F31*SIN(RADIANS($B$3))</f>
        <v>23.009999999999998</v>
      </c>
      <c r="K31" s="9" t="n">
        <f>7.997+J31*COS(RADIANS($B$2))-E31*SIN(RADIANS($B$2))</f>
        <v>31.006999999999998</v>
      </c>
      <c r="L31" s="9" t="n">
        <f>J31*SIN(RADIANS($B$2))+E31*COS(RADIANS($B$2))</f>
        <v>-18</v>
      </c>
      <c r="M31" s="9" t="n">
        <f>-7.010*SIN(RADIANS($B$3))+F31*COS(RADIANS($B$3))</f>
        <v>10.25</v>
      </c>
      <c r="N31" s="9" t="n">
        <f>SQRT(K31^2+(L31-H31)^2+(M31-I31)^2)</f>
        <v>31.77287328838863</v>
      </c>
      <c r="O31" s="9" t="n">
        <f>SQRT(D31^2+(E31-H31)^2+(F31-I31)^2)</f>
        <v>31.772873288388634</v>
      </c>
      <c r="P31" s="9" t="n">
        <f>N31-O31</f>
        <v>-3.552713678800501e-15</v>
      </c>
      <c r="Q31" s="9" t="n">
        <f>P31*360/(PI()*$B$4)</f>
        <v>-1.0177774980683254e-13</v>
      </c>
    </row>
    <row r="32">
      <c r="A32" s="9" t="n">
        <v>6</v>
      </c>
      <c r="B32" s="9" t="str">
        <v>小指外展</v>
      </c>
      <c r="C32" s="9" t="str">
        <v>Back</v>
      </c>
      <c r="D32" s="9" t="n">
        <v>31.007</v>
      </c>
      <c r="E32" s="9" t="n">
        <v>-15.38</v>
      </c>
      <c r="F32" s="9" t="n">
        <v>11.326</v>
      </c>
      <c r="G32" s="9" t="n">
        <v>0</v>
      </c>
      <c r="H32" s="9" t="n">
        <v>-15.441</v>
      </c>
      <c r="I32" s="9" t="n">
        <v>1.351</v>
      </c>
      <c r="J32" s="9" t="n">
        <f>16.000+7.010*COS(RADIANS($B$3))+F32*SIN(RADIANS($B$3))</f>
        <v>23.009999999999998</v>
      </c>
      <c r="K32" s="9" t="n">
        <f>7.997+J32*COS(RADIANS($B$2))-E32*SIN(RADIANS($B$2))</f>
        <v>31.006999999999998</v>
      </c>
      <c r="L32" s="9" t="n">
        <f>J32*SIN(RADIANS($B$2))+E32*COS(RADIANS($B$2))</f>
        <v>-15.38</v>
      </c>
      <c r="M32" s="9" t="n">
        <f>-7.010*SIN(RADIANS($B$3))+F32*COS(RADIANS($B$3))</f>
        <v>11.326</v>
      </c>
      <c r="N32" s="9" t="n">
        <f>SQRT(K32^2+(L32-H32)^2+(M32-I32)^2)</f>
        <v>32.57204929076462</v>
      </c>
      <c r="O32" s="9" t="n">
        <f>SQRT(D32^2+(E32-H32)^2+(F32-I32)^2)</f>
        <v>32.572049290764625</v>
      </c>
      <c r="P32" s="9" t="n">
        <f>N32-O32</f>
        <v>-7.105427357601002e-15</v>
      </c>
      <c r="Q32" s="9" t="n">
        <f>P32*360/(PI()*$B$4)</f>
        <v>-2.0355549961366507e-13</v>
      </c>
    </row>
    <row r="33">
      <c r="A33" s="9" t="n">
        <v>4</v>
      </c>
      <c r="B33" s="9" t="str">
        <v>小指内收</v>
      </c>
      <c r="C33" s="9" t="str">
        <v>Front</v>
      </c>
      <c r="D33" s="9" t="n">
        <v>31.007</v>
      </c>
      <c r="E33" s="9" t="n">
        <v>-10</v>
      </c>
      <c r="F33" s="9" t="n">
        <v>-17</v>
      </c>
      <c r="G33" s="9" t="n">
        <v>0</v>
      </c>
      <c r="H33" s="9" t="n">
        <v>-14.972</v>
      </c>
      <c r="I33" s="9" t="n">
        <v>-4.012</v>
      </c>
      <c r="J33" s="9" t="n">
        <f>16.000+7.010*COS(RADIANS($B$3))+F33*SIN(RADIANS($B$3))</f>
        <v>23.009999999999998</v>
      </c>
      <c r="K33" s="9" t="n">
        <f>7.997+J33*COS(RADIANS($B$2))-E33*SIN(RADIANS($B$2))</f>
        <v>31.006999999999998</v>
      </c>
      <c r="L33" s="9" t="n">
        <f>J33*SIN(RADIANS($B$2))+E33*COS(RADIANS($B$2))</f>
        <v>-10</v>
      </c>
      <c r="M33" s="9" t="n">
        <f>-7.010*SIN(RADIANS($B$3))+F33*COS(RADIANS($B$3))</f>
        <v>-17</v>
      </c>
      <c r="N33" s="9" t="n">
        <f>SQRT(K33^2+(L33-H33)^2+(M33-I33)^2)</f>
        <v>33.982980696224985</v>
      </c>
      <c r="O33" s="9" t="n">
        <f>SQRT(D33^2+(E33-H33)^2+(F33-I33)^2)</f>
        <v>33.982980696224985</v>
      </c>
      <c r="P33" s="9" t="n">
        <f>N33-O33</f>
        <v>0</v>
      </c>
      <c r="Q33" s="9" t="n">
        <f>P33*360/(PI()*$B$4)</f>
        <v>0</v>
      </c>
    </row>
    <row r="34">
      <c r="A34" s="9" t="n">
        <v>28</v>
      </c>
      <c r="B34" s="9" t="str">
        <v>拇对掌肌</v>
      </c>
      <c r="C34" s="9" t="str">
        <v>Front</v>
      </c>
      <c r="D34" s="9" t="n">
        <v>31.007</v>
      </c>
      <c r="E34" s="9" t="n">
        <v>-3</v>
      </c>
      <c r="F34" s="9" t="n">
        <v>-12.75</v>
      </c>
      <c r="G34" s="9" t="n">
        <v>0</v>
      </c>
      <c r="H34" s="9" t="n">
        <v>-13.295</v>
      </c>
      <c r="I34" s="9" t="n">
        <v>-2.344</v>
      </c>
      <c r="J34" s="9" t="n">
        <f>16.000+7.010*COS(RADIANS($B$3))+F34*SIN(RADIANS($B$3))</f>
        <v>23.009999999999998</v>
      </c>
      <c r="K34" s="9" t="n">
        <f>7.997+J34*COS(RADIANS($B$2))-E34*SIN(RADIANS($B$2))</f>
        <v>31.006999999999998</v>
      </c>
      <c r="L34" s="9" t="n">
        <f>J34*SIN(RADIANS($B$2))+E34*COS(RADIANS($B$2))</f>
        <v>-3</v>
      </c>
      <c r="M34" s="9" t="n">
        <f>-7.010*SIN(RADIANS($B$3))+F34*COS(RADIANS($B$3))</f>
        <v>-12.75</v>
      </c>
      <c r="N34" s="9" t="n">
        <f>SQRT(K34^2+(L34-H34)^2+(M34-I34)^2)</f>
        <v>34.288568211577456</v>
      </c>
      <c r="O34" s="9" t="n">
        <f>SQRT(D34^2+(E34-H34)^2+(F34-I34)^2)</f>
        <v>34.288568211577456</v>
      </c>
      <c r="P34" s="9" t="n">
        <f>N34-O34</f>
        <v>0</v>
      </c>
      <c r="Q34" s="9" t="n">
        <f>P34*360/(PI()*$B$4)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FormatPr defaultRowHeight="15"/>
  <cols>
    <col min="1" max="1" width="14" hidden="0" customWidth="1"/>
    <col min="2" max="2" width="18" hidden="0" customWidth="1"/>
    <col min="3" max="3" width="14" hidden="0" customWidth="1"/>
    <col min="4" max="4" width="14" hidden="0" customWidth="1"/>
    <col min="5" max="5" width="14" hidden="0" customWidth="1"/>
    <col min="6" max="6" width="14" hidden="0" customWidth="1"/>
    <col min="7" max="7" width="14" hidden="0" customWidth="1"/>
    <col min="8" max="8" width="14" hidden="0" customWidth="1"/>
    <col min="9" max="9" width="14" hidden="0" customWidth="1"/>
    <col min="10" max="10" width="14" hidden="0" customWidth="1"/>
    <col min="11" max="11" width="14" hidden="0" customWidth="1"/>
    <col min="12" max="12" width="14" hidden="0" customWidth="1"/>
    <col min="13" max="13" width="14" hidden="0" customWidth="1"/>
    <col min="14" max="14" width="14" hidden="0" customWidth="1"/>
    <col min="15" max="15" width="14" hidden="0" customWidth="1"/>
    <col min="16" max="16" width="14" hidden="0" customWidth="1"/>
    <col min="17" max="17" width="16" hidden="0" customWidth="1"/>
  </cols>
  <sheetData>
    <row r="1">
      <c r="A1" s="16" t="str">
        <v>Input</v>
      </c>
      <c r="B1" s="16" t="str">
        <v>Value</v>
      </c>
      <c r="C1" s="16" t="str">
        <v>Unit</v>
      </c>
      <c r="D1" s="16" t="str">
        <v>Notes</v>
      </c>
      <c r="E1" t="str"/>
      <c r="F1" t="str"/>
      <c r="G1" t="str"/>
      <c r="H1" t="str"/>
      <c r="I1" t="str"/>
      <c r="J1" t="str"/>
      <c r="K1" t="str"/>
      <c r="L1" t="str"/>
      <c r="M1" t="str"/>
      <c r="N1" t="str"/>
      <c r="O1" t="str"/>
      <c r="P1" t="str"/>
      <c r="Q1" t="str"/>
    </row>
    <row r="2">
      <c r="A2" t="str">
        <v>alpha_side_deg</v>
      </c>
      <c r="B2" t="n">
        <v>0</v>
      </c>
      <c r="C2" t="str">
        <v>deg</v>
      </c>
      <c r="D2" t="str">
        <v>外部/代码输入单位</v>
      </c>
      <c r="E2" t="str"/>
      <c r="F2" t="str"/>
      <c r="G2" t="str"/>
      <c r="H2" t="str"/>
      <c r="I2" t="str"/>
      <c r="J2" t="str"/>
      <c r="K2" t="str"/>
      <c r="L2" t="str"/>
      <c r="M2" t="str"/>
      <c r="N2" t="str"/>
      <c r="O2" t="str"/>
      <c r="P2" t="str"/>
      <c r="Q2" t="str"/>
    </row>
    <row r="3">
      <c r="A3" t="str">
        <v>beta_flex_deg</v>
      </c>
      <c r="B3" t="n">
        <v>0</v>
      </c>
      <c r="C3" t="str">
        <v>deg</v>
      </c>
      <c r="D3" t="str">
        <v>外部/代码输入单位</v>
      </c>
      <c r="E3" t="str"/>
      <c r="F3" t="str"/>
      <c r="G3" t="str"/>
      <c r="H3" t="str"/>
      <c r="I3" t="str"/>
      <c r="J3" t="str"/>
      <c r="K3" t="str"/>
      <c r="L3" t="str"/>
      <c r="M3" t="str"/>
      <c r="N3" t="str"/>
      <c r="O3" t="str"/>
      <c r="P3" t="str"/>
      <c r="Q3" t="str"/>
    </row>
    <row r="4">
      <c r="A4" t="str">
        <v>pulley_diameter</v>
      </c>
      <c r="B4" t="n">
        <v>4</v>
      </c>
      <c r="C4" t="str">
        <v>mm</v>
      </c>
      <c r="D4" t="str">
        <v>Motor_Pos_deg = Delta_L*360/(PI()*d)</v>
      </c>
      <c r="E4" t="str"/>
      <c r="F4" t="str"/>
      <c r="G4" t="str"/>
      <c r="H4" t="str"/>
      <c r="I4" t="str"/>
      <c r="J4" t="str"/>
      <c r="K4" t="str"/>
      <c r="L4" t="str"/>
      <c r="M4" t="str"/>
      <c r="N4" t="str"/>
      <c r="O4" t="str"/>
      <c r="P4" t="str"/>
      <c r="Q4" t="str"/>
    </row>
    <row r="5">
      <c r="A5" t="str"/>
      <c r="B5" t="str"/>
      <c r="C5" t="str"/>
      <c r="D5" t="str"/>
      <c r="E5" t="str"/>
      <c r="F5" t="str"/>
      <c r="G5" t="str"/>
      <c r="H5" t="str"/>
      <c r="I5" t="str"/>
      <c r="J5" t="str"/>
      <c r="K5" t="str"/>
      <c r="L5" t="str"/>
      <c r="M5" t="str"/>
      <c r="N5" t="str"/>
      <c r="O5" t="str"/>
      <c r="P5" t="str"/>
      <c r="Q5" t="str"/>
    </row>
    <row r="6">
      <c r="A6" s="20" t="str">
        <v>Motor_ID</v>
      </c>
      <c r="B6" s="20" t="str">
        <v>Name</v>
      </c>
      <c r="C6" s="20" t="str">
        <v>Region</v>
      </c>
      <c r="D6" s="20" t="str">
        <v>Band_X</v>
      </c>
      <c r="E6" s="20" t="str">
        <v>Band_Y</v>
      </c>
      <c r="F6" s="20" t="str">
        <v>Band_Z</v>
      </c>
      <c r="G6" s="20" t="str">
        <v>Base_X</v>
      </c>
      <c r="H6" s="20" t="str">
        <v>Base_Y</v>
      </c>
      <c r="I6" s="20" t="str">
        <v>Base_Z</v>
      </c>
      <c r="J6" s="20" t="str">
        <v>A</v>
      </c>
      <c r="K6" s="20" t="str">
        <v>X_rot</v>
      </c>
      <c r="L6" s="20" t="str">
        <v>Y_rot</v>
      </c>
      <c r="M6" s="20" t="str">
        <v>Z_rot</v>
      </c>
      <c r="N6" s="20" t="str">
        <v>L_mm</v>
      </c>
      <c r="O6" s="20" t="str">
        <v>L0_mm</v>
      </c>
      <c r="P6" s="20" t="str">
        <v>Delta_L_mm</v>
      </c>
      <c r="Q6" s="20" t="str">
        <v>Motor_Pos_deg</v>
      </c>
    </row>
    <row r="7">
      <c r="A7" s="9" t="n">
        <v>1</v>
      </c>
      <c r="B7" s="9" t="str">
        <v>食指内收</v>
      </c>
      <c r="C7" s="9" t="str">
        <v>Front</v>
      </c>
      <c r="D7" s="9" t="n">
        <v>31.007</v>
      </c>
      <c r="E7" s="9" t="n">
        <v>0</v>
      </c>
      <c r="F7" s="9" t="n">
        <v>-12.75</v>
      </c>
      <c r="G7" s="9" t="n">
        <v>0</v>
      </c>
      <c r="H7" s="9" t="n">
        <v>-12.686</v>
      </c>
      <c r="I7" s="9" t="n">
        <v>-4.617</v>
      </c>
      <c r="J7" s="9" t="n">
        <f>16.000+7.010*COS(RADIANS($B$3))+F7*SIN(RADIANS($B$3))</f>
        <v>23.009999999999998</v>
      </c>
      <c r="K7" s="9" t="n">
        <f>7.997+J7*COS(RADIANS($B$2))-E7*SIN(RADIANS($B$2))</f>
        <v>31.006999999999998</v>
      </c>
      <c r="L7" s="9" t="n">
        <f>J7*SIN(RADIANS($B$2))+E7*COS(RADIANS($B$2))</f>
        <v>0</v>
      </c>
      <c r="M7" s="9" t="n">
        <f>-7.010*SIN(RADIANS($B$3))+F7*COS(RADIANS($B$3))</f>
        <v>-12.75</v>
      </c>
      <c r="N7" s="9" t="n">
        <f>SQRT(K7^2+(L7-H7)^2+(M7-I7)^2)</f>
        <v>34.4748362432659</v>
      </c>
      <c r="O7" s="9" t="n">
        <f>SQRT(D7^2+(E7-H7)^2+(F7-I7)^2)</f>
        <v>34.4748362432659</v>
      </c>
      <c r="P7" s="9" t="n">
        <f>N7-O7</f>
        <v>0</v>
      </c>
      <c r="Q7" s="9" t="n">
        <f>P7*360/(PI()*$B$4)</f>
        <v>0</v>
      </c>
    </row>
    <row r="8">
      <c r="A8" s="9" t="n">
        <v>2</v>
      </c>
      <c r="B8" s="9" t="str">
        <v>中指指深屈肌</v>
      </c>
      <c r="C8" s="9" t="str">
        <v>Front</v>
      </c>
      <c r="D8" s="9" t="n">
        <v>31.007</v>
      </c>
      <c r="E8" s="9" t="n">
        <v>0</v>
      </c>
      <c r="F8" s="9" t="n">
        <v>-17.75</v>
      </c>
      <c r="G8" s="9" t="n">
        <v>0</v>
      </c>
      <c r="H8" s="9" t="n">
        <v>12.686</v>
      </c>
      <c r="I8" s="9" t="n">
        <v>-4.617</v>
      </c>
      <c r="J8" s="9" t="n">
        <f>16.000+7.010*COS(RADIANS($B$3))+F8*SIN(RADIANS($B$3))</f>
        <v>23.009999999999998</v>
      </c>
      <c r="K8" s="9" t="n">
        <f>7.997+J8*COS(RADIANS($B$2))-E8*SIN(RADIANS($B$2))</f>
        <v>31.006999999999998</v>
      </c>
      <c r="L8" s="9" t="n">
        <f>J8*SIN(RADIANS($B$2))+E8*COS(RADIANS($B$2))</f>
        <v>0</v>
      </c>
      <c r="M8" s="9" t="n">
        <f>-7.010*SIN(RADIANS($B$3))+F8*COS(RADIANS($B$3))</f>
        <v>-17.75</v>
      </c>
      <c r="N8" s="9" t="n">
        <f>SQRT(K8^2+(L8-H8)^2+(M8-I8)^2)</f>
        <v>35.98394550351587</v>
      </c>
      <c r="O8" s="9" t="n">
        <f>SQRT(D8^2+(E8-H8)^2+(F8-I8)^2)</f>
        <v>35.98394550351587</v>
      </c>
      <c r="P8" s="9" t="n">
        <f>N8-O8</f>
        <v>0</v>
      </c>
      <c r="Q8" s="9" t="n">
        <f>P8*360/(PI()*$B$4)</f>
        <v>0</v>
      </c>
    </row>
    <row r="9">
      <c r="A9" s="9" t="n">
        <v>15</v>
      </c>
      <c r="B9" s="9" t="str">
        <v>食指指深屈肌</v>
      </c>
      <c r="C9" s="9" t="str">
        <v>Front</v>
      </c>
      <c r="D9" s="9" t="n">
        <v>31.007</v>
      </c>
      <c r="E9" s="9" t="n">
        <v>-3</v>
      </c>
      <c r="F9" s="9" t="n">
        <v>-17.75</v>
      </c>
      <c r="G9" s="9" t="n">
        <v>0</v>
      </c>
      <c r="H9" s="9" t="n">
        <v>-12.697</v>
      </c>
      <c r="I9" s="9" t="n">
        <v>-8.89</v>
      </c>
      <c r="J9" s="9" t="n">
        <f>16.000+7.010*COS(RADIANS($B$3))+F9*SIN(RADIANS($B$3))</f>
        <v>23.009999999999998</v>
      </c>
      <c r="K9" s="9" t="n">
        <f>7.997+J9*COS(RADIANS($B$2))-E9*SIN(RADIANS($B$2))</f>
        <v>31.006999999999998</v>
      </c>
      <c r="L9" s="9" t="n">
        <f>J9*SIN(RADIANS($B$2))+E9*COS(RADIANS($B$2))</f>
        <v>-3</v>
      </c>
      <c r="M9" s="9" t="n">
        <f>-7.010*SIN(RADIANS($B$3))+F9*COS(RADIANS($B$3))</f>
        <v>-17.75</v>
      </c>
      <c r="N9" s="9" t="n">
        <f>SQRT(K9^2+(L9-H9)^2+(M9-I9)^2)</f>
        <v>33.6744036027366</v>
      </c>
      <c r="O9" s="9" t="n">
        <f>SQRT(D9^2+(E9-H9)^2+(F9-I9)^2)</f>
        <v>33.674403602736604</v>
      </c>
      <c r="P9" s="9" t="n">
        <f>N9-O9</f>
        <v>-7.105427357601002e-15</v>
      </c>
      <c r="Q9" s="9" t="n">
        <f>P9*360/(PI()*$B$4)</f>
        <v>-2.0355549961366507e-13</v>
      </c>
    </row>
    <row r="10">
      <c r="A10" s="9" t="n">
        <v>5</v>
      </c>
      <c r="B10" s="9" t="str">
        <v>右前手腕</v>
      </c>
      <c r="C10" s="9" t="str">
        <v>Front</v>
      </c>
      <c r="D10" s="9" t="n">
        <v>31.007</v>
      </c>
      <c r="E10" s="9" t="n">
        <v>19.25</v>
      </c>
      <c r="F10" s="9" t="n">
        <v>-9.25</v>
      </c>
      <c r="G10" s="9" t="n">
        <v>0</v>
      </c>
      <c r="H10" s="9" t="n">
        <v>15.441</v>
      </c>
      <c r="I10" s="9" t="n">
        <v>-1.351</v>
      </c>
      <c r="J10" s="9" t="n">
        <f>16.000+7.010*COS(RADIANS($B$3))+F10*SIN(RADIANS($B$3))</f>
        <v>23.009999999999998</v>
      </c>
      <c r="K10" s="9" t="n">
        <f>7.997+J10*COS(RADIANS($B$2))-E10*SIN(RADIANS($B$2))</f>
        <v>31.006999999999998</v>
      </c>
      <c r="L10" s="9" t="n">
        <f>J10*SIN(RADIANS($B$2))+E10*COS(RADIANS($B$2))</f>
        <v>19.25</v>
      </c>
      <c r="M10" s="9" t="n">
        <f>-7.010*SIN(RADIANS($B$3))+F10*COS(RADIANS($B$3))</f>
        <v>-9.25</v>
      </c>
      <c r="N10" s="9" t="n">
        <f>SQRT(K10^2+(L10-H10)^2+(M10-I10)^2)</f>
        <v>32.223232783195414</v>
      </c>
      <c r="O10" s="9" t="n">
        <f>SQRT(D10^2+(E10-H10)^2+(F10-I10)^2)</f>
        <v>32.22323278319542</v>
      </c>
      <c r="P10" s="9" t="n">
        <f>N10-O10</f>
        <v>-7.105427357601002e-15</v>
      </c>
      <c r="Q10" s="9" t="n">
        <f>P10*360/(PI()*$B$4)</f>
        <v>-2.0355549961366507e-13</v>
      </c>
    </row>
    <row r="11">
      <c r="A11" s="9" t="n">
        <v>27</v>
      </c>
      <c r="B11" s="9" t="str">
        <v>拇展肌</v>
      </c>
      <c r="C11" s="9" t="str">
        <v>Front</v>
      </c>
      <c r="D11" s="9" t="n">
        <v>31.007</v>
      </c>
      <c r="E11" s="9" t="n">
        <v>-9.5</v>
      </c>
      <c r="F11" s="9" t="n">
        <v>-20.211</v>
      </c>
      <c r="G11" s="9" t="n">
        <v>0</v>
      </c>
      <c r="H11" s="9" t="n">
        <v>-14.972</v>
      </c>
      <c r="I11" s="9" t="n">
        <v>-4.012</v>
      </c>
      <c r="J11" s="9" t="n">
        <f>16.000+7.010*COS(RADIANS($B$3))+F11*SIN(RADIANS($B$3))</f>
        <v>23.009999999999998</v>
      </c>
      <c r="K11" s="9" t="n">
        <f>7.997+J11*COS(RADIANS($B$2))-E11*SIN(RADIANS($B$2))</f>
        <v>31.006999999999998</v>
      </c>
      <c r="L11" s="9" t="n">
        <f>J11*SIN(RADIANS($B$2))+E11*COS(RADIANS($B$2))</f>
        <v>-9.5</v>
      </c>
      <c r="M11" s="9" t="n">
        <f>-7.010*SIN(RADIANS($B$3))+F11*COS(RADIANS($B$3))</f>
        <v>-20.211</v>
      </c>
      <c r="N11" s="9" t="n">
        <f>SQRT(K11^2+(L11-H11)^2+(M11-I11)^2)</f>
        <v>35.40881859085388</v>
      </c>
      <c r="O11" s="9" t="n">
        <f>SQRT(D11^2+(E11-H11)^2+(F11-I11)^2)</f>
        <v>35.40881859085389</v>
      </c>
      <c r="P11" s="9" t="n">
        <f>N11-O11</f>
        <v>-7.105427357601002e-15</v>
      </c>
      <c r="Q11" s="9" t="n">
        <f>P11*360/(PI()*$B$4)</f>
        <v>-2.0355549961366507e-13</v>
      </c>
    </row>
    <row r="12">
      <c r="A12" s="9" t="n">
        <v>7</v>
      </c>
      <c r="B12" s="9" t="str">
        <v>拇长伸肌</v>
      </c>
      <c r="C12" s="9" t="str">
        <v>Back</v>
      </c>
      <c r="D12" s="9" t="n">
        <v>31.007</v>
      </c>
      <c r="E12" s="9" t="n">
        <v>-11.569</v>
      </c>
      <c r="F12" s="9" t="n">
        <v>11.326</v>
      </c>
      <c r="G12" s="9" t="n">
        <v>0</v>
      </c>
      <c r="H12" s="9" t="n">
        <v>-14.048</v>
      </c>
      <c r="I12" s="9" t="n">
        <v>6.551</v>
      </c>
      <c r="J12" s="9" t="n">
        <f>16.000+7.010*COS(RADIANS($B$3))+F12*SIN(RADIANS($B$3))</f>
        <v>23.009999999999998</v>
      </c>
      <c r="K12" s="9" t="n">
        <f>7.997+J12*COS(RADIANS($B$2))-E12*SIN(RADIANS($B$2))</f>
        <v>31.006999999999998</v>
      </c>
      <c r="L12" s="9" t="n">
        <f>J12*SIN(RADIANS($B$2))+E12*COS(RADIANS($B$2))</f>
        <v>-11.569</v>
      </c>
      <c r="M12" s="9" t="n">
        <f>-7.010*SIN(RADIANS($B$3))+F12*COS(RADIANS($B$3))</f>
        <v>11.326</v>
      </c>
      <c r="N12" s="9" t="n">
        <f>SQRT(K12^2+(L12-H12)^2+(M12-I12)^2)</f>
        <v>31.470305289272297</v>
      </c>
      <c r="O12" s="9" t="n">
        <f>SQRT(D12^2+(E12-H12)^2+(F12-I12)^2)</f>
        <v>31.4703052892723</v>
      </c>
      <c r="P12" s="9" t="n">
        <f>N12-O12</f>
        <v>-3.552713678800501e-15</v>
      </c>
      <c r="Q12" s="9" t="n">
        <f>P12*360/(PI()*$B$4)</f>
        <v>-1.0177774980683254e-13</v>
      </c>
    </row>
    <row r="13">
      <c r="A13" s="9" t="n">
        <v>8</v>
      </c>
      <c r="B13" s="9" t="str">
        <v>拇收肌</v>
      </c>
      <c r="C13" s="9" t="str">
        <v>Back</v>
      </c>
      <c r="D13" s="9" t="n">
        <v>31.007</v>
      </c>
      <c r="E13" s="9" t="n">
        <v>-7.664</v>
      </c>
      <c r="F13" s="9" t="n">
        <v>11.326</v>
      </c>
      <c r="G13" s="9" t="n">
        <v>0</v>
      </c>
      <c r="H13" s="9" t="n">
        <v>-13.295</v>
      </c>
      <c r="I13" s="9" t="n">
        <v>2.344</v>
      </c>
      <c r="J13" s="9" t="n">
        <f>16.000+7.010*COS(RADIANS($B$3))+F13*SIN(RADIANS($B$3))</f>
        <v>23.009999999999998</v>
      </c>
      <c r="K13" s="9" t="n">
        <f>7.997+J13*COS(RADIANS($B$2))-E13*SIN(RADIANS($B$2))</f>
        <v>31.006999999999998</v>
      </c>
      <c r="L13" s="9" t="n">
        <f>J13*SIN(RADIANS($B$2))+E13*COS(RADIANS($B$2))</f>
        <v>-7.664</v>
      </c>
      <c r="M13" s="9" t="n">
        <f>-7.010*SIN(RADIANS($B$3))+F13*COS(RADIANS($B$3))</f>
        <v>11.326</v>
      </c>
      <c r="N13" s="9" t="n">
        <f>SQRT(K13^2+(L13-H13)^2+(M13-I13)^2)</f>
        <v>32.76917048080406</v>
      </c>
      <c r="O13" s="9" t="n">
        <f>SQRT(D13^2+(E13-H13)^2+(F13-I13)^2)</f>
        <v>32.76917048080406</v>
      </c>
      <c r="P13" s="9" t="n">
        <f>N13-O13</f>
        <v>0</v>
      </c>
      <c r="Q13" s="9" t="n">
        <f>P13*360/(PI()*$B$4)</f>
        <v>0</v>
      </c>
    </row>
    <row r="14">
      <c r="A14" s="9" t="n">
        <v>24</v>
      </c>
      <c r="B14" s="9" t="str">
        <v>中指外展</v>
      </c>
      <c r="C14" s="9" t="str">
        <v>Back</v>
      </c>
      <c r="D14" s="9" t="n">
        <v>31.007</v>
      </c>
      <c r="E14" s="9" t="n">
        <v>-2.165</v>
      </c>
      <c r="F14" s="9" t="n">
        <v>11.326</v>
      </c>
      <c r="G14" s="9" t="n">
        <v>0</v>
      </c>
      <c r="H14" s="9" t="n">
        <v>-12.686</v>
      </c>
      <c r="I14" s="9" t="n">
        <v>4.617</v>
      </c>
      <c r="J14" s="9" t="n">
        <f>16.000+7.010*COS(RADIANS($B$3))+F14*SIN(RADIANS($B$3))</f>
        <v>23.009999999999998</v>
      </c>
      <c r="K14" s="9" t="n">
        <f>7.997+J14*COS(RADIANS($B$2))-E14*SIN(RADIANS($B$2))</f>
        <v>31.006999999999998</v>
      </c>
      <c r="L14" s="9" t="n">
        <f>J14*SIN(RADIANS($B$2))+E14*COS(RADIANS($B$2))</f>
        <v>-2.165</v>
      </c>
      <c r="M14" s="9" t="n">
        <f>-7.010*SIN(RADIANS($B$3))+F14*COS(RADIANS($B$3))</f>
        <v>11.326</v>
      </c>
      <c r="N14" s="9" t="n">
        <f>SQRT(K14^2+(L14-H14)^2+(M14-I14)^2)</f>
        <v>33.423587045677785</v>
      </c>
      <c r="O14" s="9" t="n">
        <f>SQRT(D14^2+(E14-H14)^2+(F14-I14)^2)</f>
        <v>33.42358704567779</v>
      </c>
      <c r="P14" s="9" t="n">
        <f>N14-O14</f>
        <v>-7.105427357601002e-15</v>
      </c>
      <c r="Q14" s="9" t="n">
        <f>P14*360/(PI()*$B$4)</f>
        <v>-2.0355549961366507e-13</v>
      </c>
    </row>
    <row r="15">
      <c r="A15" s="9" t="n">
        <v>9</v>
      </c>
      <c r="B15" s="9" t="str">
        <v>中指内收</v>
      </c>
      <c r="C15" s="9" t="str">
        <v>Back</v>
      </c>
      <c r="D15" s="9" t="n">
        <v>31.007</v>
      </c>
      <c r="E15" s="9" t="n">
        <v>1.835</v>
      </c>
      <c r="F15" s="9" t="n">
        <v>11.326</v>
      </c>
      <c r="G15" s="9" t="n">
        <v>0</v>
      </c>
      <c r="H15" s="9" t="n">
        <v>-11.691</v>
      </c>
      <c r="I15" s="9" t="n">
        <v>6.75</v>
      </c>
      <c r="J15" s="9" t="n">
        <f>16.000+7.010*COS(RADIANS($B$3))+F15*SIN(RADIANS($B$3))</f>
        <v>23.009999999999998</v>
      </c>
      <c r="K15" s="9" t="n">
        <f>7.997+J15*COS(RADIANS($B$2))-E15*SIN(RADIANS($B$2))</f>
        <v>31.006999999999998</v>
      </c>
      <c r="L15" s="9" t="n">
        <f>J15*SIN(RADIANS($B$2))+E15*COS(RADIANS($B$2))</f>
        <v>1.835</v>
      </c>
      <c r="M15" s="9" t="n">
        <f>-7.010*SIN(RADIANS($B$3))+F15*COS(RADIANS($B$3))</f>
        <v>11.326</v>
      </c>
      <c r="N15" s="9" t="n">
        <f>SQRT(K15^2+(L15-H15)^2+(M15-I15)^2)</f>
        <v>34.136878899512766</v>
      </c>
      <c r="O15" s="9" t="n">
        <f>SQRT(D15^2+(E15-H15)^2+(F15-I15)^2)</f>
        <v>34.136878899512766</v>
      </c>
      <c r="P15" s="9" t="n">
        <f>N15-O15</f>
        <v>0</v>
      </c>
      <c r="Q15" s="9" t="n">
        <f>P15*360/(PI()*$B$4)</f>
        <v>0</v>
      </c>
    </row>
    <row r="16">
      <c r="A16" s="9" t="n">
        <v>11</v>
      </c>
      <c r="B16" s="9" t="str">
        <v>小指伸肌</v>
      </c>
      <c r="C16" s="9" t="str">
        <v>Back</v>
      </c>
      <c r="D16" s="9" t="n">
        <v>31.007</v>
      </c>
      <c r="E16" s="9" t="n">
        <v>14.546</v>
      </c>
      <c r="F16" s="9" t="n">
        <v>13.735</v>
      </c>
      <c r="G16" s="9" t="n">
        <v>0</v>
      </c>
      <c r="H16" s="9" t="n">
        <v>14.048</v>
      </c>
      <c r="I16" s="9" t="n">
        <v>6.551</v>
      </c>
      <c r="J16" s="9" t="n">
        <f>16.000+7.010*COS(RADIANS($B$3))+F16*SIN(RADIANS($B$3))</f>
        <v>23.009999999999998</v>
      </c>
      <c r="K16" s="9" t="n">
        <f>7.997+J16*COS(RADIANS($B$2))-E16*SIN(RADIANS($B$2))</f>
        <v>31.006999999999998</v>
      </c>
      <c r="L16" s="9" t="n">
        <f>J16*SIN(RADIANS($B$2))+E16*COS(RADIANS($B$2))</f>
        <v>14.546</v>
      </c>
      <c r="M16" s="9" t="n">
        <f>-7.010*SIN(RADIANS($B$3))+F16*COS(RADIANS($B$3))</f>
        <v>13.735</v>
      </c>
      <c r="N16" s="9" t="n">
        <f>SQRT(K16^2+(L16-H16)^2+(M16-I16)^2)</f>
        <v>31.832246370622354</v>
      </c>
      <c r="O16" s="9" t="n">
        <f>SQRT(D16^2+(E16-H16)^2+(F16-I16)^2)</f>
        <v>31.832246370622357</v>
      </c>
      <c r="P16" s="9" t="n">
        <f>N16-O16</f>
        <v>-3.552713678800501e-15</v>
      </c>
      <c r="Q16" s="9" t="n">
        <f>P16*360/(PI()*$B$4)</f>
        <v>-1.0177774980683254e-13</v>
      </c>
    </row>
    <row r="17">
      <c r="A17" s="9" t="n">
        <v>12</v>
      </c>
      <c r="B17" s="9" t="str">
        <v>左后手腕</v>
      </c>
      <c r="C17" s="9" t="str">
        <v>Back</v>
      </c>
      <c r="D17" s="9" t="n">
        <v>31.007</v>
      </c>
      <c r="E17" s="9" t="n">
        <v>-19.25</v>
      </c>
      <c r="F17" s="9" t="n">
        <v>7.25</v>
      </c>
      <c r="G17" s="9" t="n">
        <v>0</v>
      </c>
      <c r="H17" s="9" t="n">
        <v>-15.441</v>
      </c>
      <c r="I17" s="9" t="n">
        <v>1.351</v>
      </c>
      <c r="J17" s="9" t="n">
        <f>16.000+7.010*COS(RADIANS($B$3))+F17*SIN(RADIANS($B$3))</f>
        <v>23.009999999999998</v>
      </c>
      <c r="K17" s="9" t="n">
        <f>7.997+J17*COS(RADIANS($B$2))-E17*SIN(RADIANS($B$2))</f>
        <v>31.006999999999998</v>
      </c>
      <c r="L17" s="9" t="n">
        <f>J17*SIN(RADIANS($B$2))+E17*COS(RADIANS($B$2))</f>
        <v>-19.25</v>
      </c>
      <c r="M17" s="9" t="n">
        <f>-7.010*SIN(RADIANS($B$3))+F17*COS(RADIANS($B$3))</f>
        <v>7.25</v>
      </c>
      <c r="N17" s="9" t="n">
        <f>SQRT(K17^2+(L17-H17)^2+(M17-I17)^2)</f>
        <v>31.79214888930913</v>
      </c>
      <c r="O17" s="9" t="n">
        <f>SQRT(D17^2+(E17-H17)^2+(F17-I17)^2)</f>
        <v>31.792148889309132</v>
      </c>
      <c r="P17" s="9" t="n">
        <f>N17-O17</f>
        <v>-3.552713678800501e-15</v>
      </c>
      <c r="Q17" s="9" t="n">
        <f>P17*360/(PI()*$B$4)</f>
        <v>-1.0177774980683254e-13</v>
      </c>
    </row>
    <row r="18">
      <c r="A18" s="9" t="n">
        <v>20</v>
      </c>
      <c r="B18" s="9" t="str">
        <v>小指外展</v>
      </c>
      <c r="C18" s="9" t="str">
        <v>Back</v>
      </c>
      <c r="D18" s="9" t="n">
        <v>31.007</v>
      </c>
      <c r="E18" s="9" t="n">
        <v>19</v>
      </c>
      <c r="F18" s="9" t="n">
        <v>11.326</v>
      </c>
      <c r="G18" s="9" t="n">
        <v>0</v>
      </c>
      <c r="H18" s="9" t="n">
        <v>14.972</v>
      </c>
      <c r="I18" s="9" t="n">
        <v>4.012</v>
      </c>
      <c r="J18" s="9" t="n">
        <f>16.000+7.010*COS(RADIANS($B$3))+F18*SIN(RADIANS($B$3))</f>
        <v>23.009999999999998</v>
      </c>
      <c r="K18" s="9" t="n">
        <f>7.997+J18*COS(RADIANS($B$2))-E18*SIN(RADIANS($B$2))</f>
        <v>31.006999999999998</v>
      </c>
      <c r="L18" s="9" t="n">
        <f>J18*SIN(RADIANS($B$2))+E18*COS(RADIANS($B$2))</f>
        <v>19</v>
      </c>
      <c r="M18" s="9" t="n">
        <f>-7.010*SIN(RADIANS($B$3))+F18*COS(RADIANS($B$3))</f>
        <v>11.326</v>
      </c>
      <c r="N18" s="9" t="n">
        <f>SQRT(K18^2+(L18-H18)^2+(M18-I18)^2)</f>
        <v>32.111577803029235</v>
      </c>
      <c r="O18" s="9" t="n">
        <f>SQRT(D18^2+(E18-H18)^2+(F18-I18)^2)</f>
        <v>32.11157780302924</v>
      </c>
      <c r="P18" s="9" t="n">
        <f>N18-O18</f>
        <v>-7.105427357601002e-15</v>
      </c>
      <c r="Q18" s="9" t="n">
        <f>P18*360/(PI()*$B$4)</f>
        <v>-2.0355549961366507e-13</v>
      </c>
    </row>
    <row r="19">
      <c r="A19" s="9" t="n">
        <v>18</v>
      </c>
      <c r="B19" s="9" t="str">
        <v>小指内收</v>
      </c>
      <c r="C19" s="9" t="str">
        <v>Front</v>
      </c>
      <c r="D19" s="9" t="n">
        <v>31.007</v>
      </c>
      <c r="E19" s="9" t="n">
        <v>6</v>
      </c>
      <c r="F19" s="9" t="n">
        <v>-12.75</v>
      </c>
      <c r="G19" s="9" t="n">
        <v>0</v>
      </c>
      <c r="H19" s="9" t="n">
        <v>14.972</v>
      </c>
      <c r="I19" s="9" t="n">
        <v>-4.012</v>
      </c>
      <c r="J19" s="9" t="n">
        <f>16.000+7.010*COS(RADIANS($B$3))+F19*SIN(RADIANS($B$3))</f>
        <v>23.009999999999998</v>
      </c>
      <c r="K19" s="9" t="n">
        <f>7.997+J19*COS(RADIANS($B$2))-E19*SIN(RADIANS($B$2))</f>
        <v>31.006999999999998</v>
      </c>
      <c r="L19" s="9" t="n">
        <f>J19*SIN(RADIANS($B$2))+E19*COS(RADIANS($B$2))</f>
        <v>6</v>
      </c>
      <c r="M19" s="9" t="n">
        <f>-7.010*SIN(RADIANS($B$3))+F19*COS(RADIANS($B$3))</f>
        <v>-12.75</v>
      </c>
      <c r="N19" s="9" t="n">
        <f>SQRT(K19^2+(L19-H19)^2+(M19-I19)^2)</f>
        <v>33.44074576022491</v>
      </c>
      <c r="O19" s="9" t="n">
        <f>SQRT(D19^2+(E19-H19)^2+(F19-I19)^2)</f>
        <v>33.44074576022491</v>
      </c>
      <c r="P19" s="9" t="n">
        <f>N19-O19</f>
        <v>0</v>
      </c>
      <c r="Q19" s="9" t="n">
        <f>P19*360/(PI()*$B$4)</f>
        <v>0</v>
      </c>
    </row>
    <row r="20">
      <c r="A20" s="9" t="n">
        <v>14</v>
      </c>
      <c r="B20" s="9" t="str">
        <v>拇对掌肌</v>
      </c>
      <c r="C20" s="9" t="str">
        <v>Front</v>
      </c>
      <c r="D20" s="9" t="n">
        <v>31.007</v>
      </c>
      <c r="E20" s="9" t="n">
        <v>3</v>
      </c>
      <c r="F20" s="9" t="n">
        <v>-12.75</v>
      </c>
      <c r="G20" s="9" t="n">
        <v>0</v>
      </c>
      <c r="H20" s="9" t="n">
        <v>13.295</v>
      </c>
      <c r="I20" s="9" t="n">
        <v>-2.344</v>
      </c>
      <c r="J20" s="9" t="n">
        <f>16.000+7.010*COS(RADIANS($B$3))+F20*SIN(RADIANS($B$3))</f>
        <v>23.009999999999998</v>
      </c>
      <c r="K20" s="9" t="n">
        <f>7.997+J20*COS(RADIANS($B$2))-E20*SIN(RADIANS($B$2))</f>
        <v>31.006999999999998</v>
      </c>
      <c r="L20" s="9" t="n">
        <f>J20*SIN(RADIANS($B$2))+E20*COS(RADIANS($B$2))</f>
        <v>3</v>
      </c>
      <c r="M20" s="9" t="n">
        <f>-7.010*SIN(RADIANS($B$3))+F20*COS(RADIANS($B$3))</f>
        <v>-12.75</v>
      </c>
      <c r="N20" s="9" t="n">
        <f>SQRT(K20^2+(L20-H20)^2+(M20-I20)^2)</f>
        <v>34.288568211577456</v>
      </c>
      <c r="O20" s="9" t="n">
        <f>SQRT(D20^2+(E20-H20)^2+(F20-I20)^2)</f>
        <v>34.288568211577456</v>
      </c>
      <c r="P20" s="9" t="n">
        <f>N20-O20</f>
        <v>0</v>
      </c>
      <c r="Q20" s="9" t="n">
        <f>P20*360/(PI()*$B$4)</f>
        <v>0</v>
      </c>
    </row>
    <row r="21">
      <c r="A21" s="9" t="n">
        <v>3</v>
      </c>
      <c r="B21" s="9" t="str">
        <v>食指指浅屈肌</v>
      </c>
      <c r="C21" s="9" t="str">
        <v>Front</v>
      </c>
      <c r="D21" s="9" t="n">
        <v>31.007</v>
      </c>
      <c r="E21" s="9" t="n">
        <v>-1.5</v>
      </c>
      <c r="F21" s="9" t="n">
        <v>-15.25</v>
      </c>
      <c r="G21" s="9" t="n">
        <v>0</v>
      </c>
      <c r="H21" s="9" t="n">
        <v>-11.691</v>
      </c>
      <c r="I21" s="9" t="n">
        <v>-6.75</v>
      </c>
      <c r="J21" s="9" t="n">
        <f>16.000+7.010*COS(RADIANS($B$3))+F21*SIN(RADIANS($B$3))</f>
        <v>23.009999999999998</v>
      </c>
      <c r="K21" s="9" t="n">
        <f>7.997+J21*COS(RADIANS($B$2))-E21*SIN(RADIANS($B$2))</f>
        <v>31.006999999999998</v>
      </c>
      <c r="L21" s="9" t="n">
        <f>J21*SIN(RADIANS($B$2))+E21*COS(RADIANS($B$2))</f>
        <v>-1.5</v>
      </c>
      <c r="M21" s="9" t="n">
        <f>-7.010*SIN(RADIANS($B$3))+F21*COS(RADIANS($B$3))</f>
        <v>-15.25</v>
      </c>
      <c r="N21" s="9" t="n">
        <f>SQRT(K21^2+(L21-H21)^2+(M21-I21)^2)</f>
        <v>33.72744475942403</v>
      </c>
      <c r="O21" s="9" t="n">
        <f>SQRT(D21^2+(E21-H21)^2+(F21-I21)^2)</f>
        <v>33.72744475942404</v>
      </c>
      <c r="P21" s="9" t="n">
        <f>N21-O21</f>
        <v>-7.105427357601002e-15</v>
      </c>
      <c r="Q21" s="9" t="n">
        <f>P21*360/(PI()*$B$4)</f>
        <v>-2.0355549961366507e-13</v>
      </c>
    </row>
    <row r="22">
      <c r="A22" s="9" t="n">
        <v>16</v>
      </c>
      <c r="B22" s="9" t="str">
        <v>中指指浅屈肌</v>
      </c>
      <c r="C22" s="9" t="str">
        <v>Front</v>
      </c>
      <c r="D22" s="9" t="n">
        <v>31.007</v>
      </c>
      <c r="E22" s="9" t="n">
        <v>1.5</v>
      </c>
      <c r="F22" s="9" t="n">
        <v>-15.25</v>
      </c>
      <c r="G22" s="9" t="n">
        <v>0</v>
      </c>
      <c r="H22" s="9" t="n">
        <v>11.691</v>
      </c>
      <c r="I22" s="9" t="n">
        <v>-6.75</v>
      </c>
      <c r="J22" s="9" t="n">
        <f>16.000+7.010*COS(RADIANS($B$3))+F22*SIN(RADIANS($B$3))</f>
        <v>23.009999999999998</v>
      </c>
      <c r="K22" s="9" t="n">
        <f>7.997+J22*COS(RADIANS($B$2))-E22*SIN(RADIANS($B$2))</f>
        <v>31.006999999999998</v>
      </c>
      <c r="L22" s="9" t="n">
        <f>J22*SIN(RADIANS($B$2))+E22*COS(RADIANS($B$2))</f>
        <v>1.5</v>
      </c>
      <c r="M22" s="9" t="n">
        <f>-7.010*SIN(RADIANS($B$3))+F22*COS(RADIANS($B$3))</f>
        <v>-15.25</v>
      </c>
      <c r="N22" s="9" t="n">
        <f>SQRT(K22^2+(L22-H22)^2+(M22-I22)^2)</f>
        <v>33.72744475942403</v>
      </c>
      <c r="O22" s="9" t="n">
        <f>SQRT(D22^2+(E22-H22)^2+(F22-I22)^2)</f>
        <v>33.72744475942404</v>
      </c>
      <c r="P22" s="9" t="n">
        <f>N22-O22</f>
        <v>-7.105427357601002e-15</v>
      </c>
      <c r="Q22" s="9" t="n">
        <f>P22*360/(PI()*$B$4)</f>
        <v>-2.0355549961366507e-13</v>
      </c>
    </row>
    <row r="23">
      <c r="A23" s="9" t="n">
        <v>17</v>
      </c>
      <c r="B23" s="9" t="str">
        <v>无名指屈肌</v>
      </c>
      <c r="C23" s="9" t="str">
        <v>Front</v>
      </c>
      <c r="D23" s="9" t="n">
        <v>31.007</v>
      </c>
      <c r="E23" s="9" t="n">
        <v>3</v>
      </c>
      <c r="F23" s="9" t="n">
        <v>-17.75</v>
      </c>
      <c r="G23" s="9" t="n">
        <v>0</v>
      </c>
      <c r="H23" s="9" t="n">
        <v>12.697</v>
      </c>
      <c r="I23" s="9" t="n">
        <v>-8.89</v>
      </c>
      <c r="J23" s="9" t="n">
        <f>16.000+7.010*COS(RADIANS($B$3))+F23*SIN(RADIANS($B$3))</f>
        <v>23.009999999999998</v>
      </c>
      <c r="K23" s="9" t="n">
        <f>7.997+J23*COS(RADIANS($B$2))-E23*SIN(RADIANS($B$2))</f>
        <v>31.006999999999998</v>
      </c>
      <c r="L23" s="9" t="n">
        <f>J23*SIN(RADIANS($B$2))+E23*COS(RADIANS($B$2))</f>
        <v>3</v>
      </c>
      <c r="M23" s="9" t="n">
        <f>-7.010*SIN(RADIANS($B$3))+F23*COS(RADIANS($B$3))</f>
        <v>-17.75</v>
      </c>
      <c r="N23" s="9" t="n">
        <f>SQRT(K23^2+(L23-H23)^2+(M23-I23)^2)</f>
        <v>33.6744036027366</v>
      </c>
      <c r="O23" s="9" t="n">
        <f>SQRT(D23^2+(E23-H23)^2+(F23-I23)^2)</f>
        <v>33.674403602736604</v>
      </c>
      <c r="P23" s="9" t="n">
        <f>N23-O23</f>
        <v>-7.105427357601002e-15</v>
      </c>
      <c r="Q23" s="9" t="n">
        <f>P23*360/(PI()*$B$4)</f>
        <v>-2.0355549961366507e-13</v>
      </c>
    </row>
    <row r="24">
      <c r="A24" s="9" t="n">
        <v>13</v>
      </c>
      <c r="B24" s="9" t="str">
        <v>小指屈肌</v>
      </c>
      <c r="C24" s="9" t="str">
        <v>Front</v>
      </c>
      <c r="D24" s="9" t="n">
        <v>31.007</v>
      </c>
      <c r="E24" s="9" t="n">
        <v>4.5</v>
      </c>
      <c r="F24" s="9" t="n">
        <v>-15.25</v>
      </c>
      <c r="G24" s="9" t="n">
        <v>0</v>
      </c>
      <c r="H24" s="9" t="n">
        <v>14.048</v>
      </c>
      <c r="I24" s="9" t="n">
        <v>-6.551</v>
      </c>
      <c r="J24" s="9" t="n">
        <f>16.000+7.010*COS(RADIANS($B$3))+F24*SIN(RADIANS($B$3))</f>
        <v>23.009999999999998</v>
      </c>
      <c r="K24" s="9" t="n">
        <f>7.997+J24*COS(RADIANS($B$2))-E24*SIN(RADIANS($B$2))</f>
        <v>31.006999999999998</v>
      </c>
      <c r="L24" s="9" t="n">
        <f>J24*SIN(RADIANS($B$2))+E24*COS(RADIANS($B$2))</f>
        <v>4.5</v>
      </c>
      <c r="M24" s="9" t="n">
        <f>-7.010*SIN(RADIANS($B$3))+F24*COS(RADIANS($B$3))</f>
        <v>-15.25</v>
      </c>
      <c r="N24" s="9" t="n">
        <f>SQRT(K24^2+(L24-H24)^2+(M24-I24)^2)</f>
        <v>33.589744774261085</v>
      </c>
      <c r="O24" s="9" t="n">
        <f>SQRT(D24^2+(E24-H24)^2+(F24-I24)^2)</f>
        <v>33.589744774261085</v>
      </c>
      <c r="P24" s="9" t="n">
        <f>N24-O24</f>
        <v>0</v>
      </c>
      <c r="Q24" s="9" t="n">
        <f>P24*360/(PI()*$B$4)</f>
        <v>0</v>
      </c>
    </row>
    <row r="25">
      <c r="A25" s="9" t="n">
        <v>19</v>
      </c>
      <c r="B25" s="9" t="str">
        <v>左前手腕</v>
      </c>
      <c r="C25" s="9" t="str">
        <v>Front</v>
      </c>
      <c r="D25" s="9" t="n">
        <v>31.007</v>
      </c>
      <c r="E25" s="9" t="n">
        <v>-19.25</v>
      </c>
      <c r="F25" s="9" t="n">
        <v>-9.25</v>
      </c>
      <c r="G25" s="9" t="n">
        <v>0</v>
      </c>
      <c r="H25" s="9" t="n">
        <v>-15.441</v>
      </c>
      <c r="I25" s="9" t="n">
        <v>-1.351</v>
      </c>
      <c r="J25" s="9" t="n">
        <f>16.000+7.010*COS(RADIANS($B$3))+F25*SIN(RADIANS($B$3))</f>
        <v>23.009999999999998</v>
      </c>
      <c r="K25" s="9" t="n">
        <f>7.997+J25*COS(RADIANS($B$2))-E25*SIN(RADIANS($B$2))</f>
        <v>31.006999999999998</v>
      </c>
      <c r="L25" s="9" t="n">
        <f>J25*SIN(RADIANS($B$2))+E25*COS(RADIANS($B$2))</f>
        <v>-19.25</v>
      </c>
      <c r="M25" s="9" t="n">
        <f>-7.010*SIN(RADIANS($B$3))+F25*COS(RADIANS($B$3))</f>
        <v>-9.25</v>
      </c>
      <c r="N25" s="9" t="n">
        <f>SQRT(K25^2+(L25-H25)^2+(M25-I25)^2)</f>
        <v>32.223232783195414</v>
      </c>
      <c r="O25" s="9" t="n">
        <f>SQRT(D25^2+(E25-H25)^2+(F25-I25)^2)</f>
        <v>32.22323278319542</v>
      </c>
      <c r="P25" s="9" t="n">
        <f>N25-O25</f>
        <v>-7.105427357601002e-15</v>
      </c>
      <c r="Q25" s="9" t="n">
        <f>P25*360/(PI()*$B$4)</f>
        <v>-2.0355549961366507e-13</v>
      </c>
    </row>
    <row r="26">
      <c r="A26" s="9" t="n">
        <v>21</v>
      </c>
      <c r="B26" s="9" t="str">
        <v>无名指外展</v>
      </c>
      <c r="C26" s="9" t="str">
        <v>Back</v>
      </c>
      <c r="D26" s="9" t="n">
        <v>31.007</v>
      </c>
      <c r="E26" s="9" t="n">
        <v>9.684</v>
      </c>
      <c r="F26" s="9" t="n">
        <v>11.326</v>
      </c>
      <c r="G26" s="9" t="n">
        <v>0</v>
      </c>
      <c r="H26" s="9" t="n">
        <v>13.295</v>
      </c>
      <c r="I26" s="9" t="n">
        <v>2.344</v>
      </c>
      <c r="J26" s="9" t="n">
        <f>16.000+7.010*COS(RADIANS($B$3))+F26*SIN(RADIANS($B$3))</f>
        <v>23.009999999999998</v>
      </c>
      <c r="K26" s="9" t="n">
        <f>7.997+J26*COS(RADIANS($B$2))-E26*SIN(RADIANS($B$2))</f>
        <v>31.006999999999998</v>
      </c>
      <c r="L26" s="9" t="n">
        <f>J26*SIN(RADIANS($B$2))+E26*COS(RADIANS($B$2))</f>
        <v>9.684</v>
      </c>
      <c r="M26" s="9" t="n">
        <f>-7.010*SIN(RADIANS($B$3))+F26*COS(RADIANS($B$3))</f>
        <v>11.326</v>
      </c>
      <c r="N26" s="9" t="n">
        <f>SQRT(K26^2+(L26-H26)^2+(M26-I26)^2)</f>
        <v>32.48306780462707</v>
      </c>
      <c r="O26" s="9" t="n">
        <f>SQRT(D26^2+(E26-H26)^2+(F26-I26)^2)</f>
        <v>32.483067804627076</v>
      </c>
      <c r="P26" s="9" t="n">
        <f>N26-O26</f>
        <v>-7.105427357601002e-15</v>
      </c>
      <c r="Q26" s="9" t="n">
        <f>P26*360/(PI()*$B$4)</f>
        <v>-2.0355549961366507e-13</v>
      </c>
    </row>
    <row r="27">
      <c r="A27" s="9" t="n">
        <v>10</v>
      </c>
      <c r="B27" s="9" t="str">
        <v>无名指伸肌</v>
      </c>
      <c r="C27" s="9" t="str">
        <v>Back</v>
      </c>
      <c r="D27" s="9" t="n">
        <v>31.007</v>
      </c>
      <c r="E27" s="9" t="n">
        <v>7.36</v>
      </c>
      <c r="F27" s="9" t="n">
        <v>13.735</v>
      </c>
      <c r="G27" s="9" t="n">
        <v>0</v>
      </c>
      <c r="H27" s="9" t="n">
        <v>12.697</v>
      </c>
      <c r="I27" s="9" t="n">
        <v>8.89</v>
      </c>
      <c r="J27" s="9" t="n">
        <f>16.000+7.010*COS(RADIANS($B$3))+F27*SIN(RADIANS($B$3))</f>
        <v>23.009999999999998</v>
      </c>
      <c r="K27" s="9" t="n">
        <f>7.997+J27*COS(RADIANS($B$2))-E27*SIN(RADIANS($B$2))</f>
        <v>31.006999999999998</v>
      </c>
      <c r="L27" s="9" t="n">
        <f>J27*SIN(RADIANS($B$2))+E27*COS(RADIANS($B$2))</f>
        <v>7.36</v>
      </c>
      <c r="M27" s="9" t="n">
        <f>-7.010*SIN(RADIANS($B$3))+F27*COS(RADIANS($B$3))</f>
        <v>13.735</v>
      </c>
      <c r="N27" s="9" t="n">
        <f>SQRT(K27^2+(L27-H27)^2+(M27-I27)^2)</f>
        <v>31.833812888185413</v>
      </c>
      <c r="O27" s="9" t="n">
        <f>SQRT(D27^2+(E27-H27)^2+(F27-I27)^2)</f>
        <v>31.833812888185417</v>
      </c>
      <c r="P27" s="9" t="n">
        <f>N27-O27</f>
        <v>-3.552713678800501e-15</v>
      </c>
      <c r="Q27" s="9" t="n">
        <f>P27*360/(PI()*$B$4)</f>
        <v>-1.0177774980683254e-13</v>
      </c>
    </row>
    <row r="28">
      <c r="A28" s="9" t="n">
        <v>22</v>
      </c>
      <c r="B28" s="9" t="str">
        <v>无名指内收</v>
      </c>
      <c r="C28" s="9" t="str">
        <v>Back</v>
      </c>
      <c r="D28" s="9" t="n">
        <v>31.007</v>
      </c>
      <c r="E28" s="9" t="n">
        <v>5.61</v>
      </c>
      <c r="F28" s="9" t="n">
        <v>11.326</v>
      </c>
      <c r="G28" s="9" t="n">
        <v>0</v>
      </c>
      <c r="H28" s="9" t="n">
        <v>12.686</v>
      </c>
      <c r="I28" s="9" t="n">
        <v>4.617</v>
      </c>
      <c r="J28" s="9" t="n">
        <f>16.000+7.010*COS(RADIANS($B$3))+F28*SIN(RADIANS($B$3))</f>
        <v>23.009999999999998</v>
      </c>
      <c r="K28" s="9" t="n">
        <f>7.997+J28*COS(RADIANS($B$2))-E28*SIN(RADIANS($B$2))</f>
        <v>31.006999999999998</v>
      </c>
      <c r="L28" s="9" t="n">
        <f>J28*SIN(RADIANS($B$2))+E28*COS(RADIANS($B$2))</f>
        <v>5.61</v>
      </c>
      <c r="M28" s="9" t="n">
        <f>-7.010*SIN(RADIANS($B$3))+F28*COS(RADIANS($B$3))</f>
        <v>11.326</v>
      </c>
      <c r="N28" s="9" t="n">
        <f>SQRT(K28^2+(L28-H28)^2+(M28-I28)^2)</f>
        <v>32.50406906834897</v>
      </c>
      <c r="O28" s="9" t="n">
        <f>SQRT(D28^2+(E28-H28)^2+(F28-I28)^2)</f>
        <v>32.50406906834897</v>
      </c>
      <c r="P28" s="9" t="n">
        <f>N28-O28</f>
        <v>0</v>
      </c>
      <c r="Q28" s="9" t="n">
        <f>P28*360/(PI()*$B$4)</f>
        <v>0</v>
      </c>
    </row>
    <row r="29">
      <c r="A29" s="9" t="n">
        <v>23</v>
      </c>
      <c r="B29" s="9" t="str">
        <v>中指伸肌</v>
      </c>
      <c r="C29" s="9" t="str">
        <v>Back</v>
      </c>
      <c r="D29" s="9" t="n">
        <v>31.007</v>
      </c>
      <c r="E29" s="9" t="n">
        <v>0.335</v>
      </c>
      <c r="F29" s="9" t="n">
        <v>14.779</v>
      </c>
      <c r="G29" s="9" t="n">
        <v>0</v>
      </c>
      <c r="H29" s="9" t="n">
        <v>11.691</v>
      </c>
      <c r="I29" s="9" t="n">
        <v>6.75</v>
      </c>
      <c r="J29" s="9" t="n">
        <f>16.000+7.010*COS(RADIANS($B$3))+F29*SIN(RADIANS($B$3))</f>
        <v>23.009999999999998</v>
      </c>
      <c r="K29" s="9" t="n">
        <f>7.997+J29*COS(RADIANS($B$2))-E29*SIN(RADIANS($B$2))</f>
        <v>31.006999999999998</v>
      </c>
      <c r="L29" s="9" t="n">
        <f>J29*SIN(RADIANS($B$2))+E29*COS(RADIANS($B$2))</f>
        <v>0.335</v>
      </c>
      <c r="M29" s="9" t="n">
        <f>-7.010*SIN(RADIANS($B$3))+F29*COS(RADIANS($B$3))</f>
        <v>14.779</v>
      </c>
      <c r="N29" s="9" t="n">
        <f>SQRT(K29^2+(L29-H29)^2+(M29-I29)^2)</f>
        <v>33.98319622990162</v>
      </c>
      <c r="O29" s="9" t="n">
        <f>SQRT(D29^2+(E29-H29)^2+(F29-I29)^2)</f>
        <v>33.98319622990162</v>
      </c>
      <c r="P29" s="9" t="n">
        <f>N29-O29</f>
        <v>0</v>
      </c>
      <c r="Q29" s="9" t="n">
        <f>P29*360/(PI()*$B$4)</f>
        <v>0</v>
      </c>
    </row>
    <row r="30">
      <c r="A30" s="9" t="n">
        <v>25</v>
      </c>
      <c r="B30" s="9" t="str">
        <v>食指伸肌</v>
      </c>
      <c r="C30" s="9" t="str">
        <v>Back</v>
      </c>
      <c r="D30" s="9" t="n">
        <v>31.007</v>
      </c>
      <c r="E30" s="9" t="n">
        <v>-10</v>
      </c>
      <c r="F30" s="9" t="n">
        <v>15</v>
      </c>
      <c r="G30" s="9" t="n">
        <v>0</v>
      </c>
      <c r="H30" s="9" t="n">
        <v>-12.697</v>
      </c>
      <c r="I30" s="9" t="n">
        <v>8.89</v>
      </c>
      <c r="J30" s="9" t="n">
        <f>16.000+7.010*COS(RADIANS($B$3))+F30*SIN(RADIANS($B$3))</f>
        <v>23.009999999999998</v>
      </c>
      <c r="K30" s="9" t="n">
        <f>7.997+J30*COS(RADIANS($B$2))-E30*SIN(RADIANS($B$2))</f>
        <v>31.006999999999998</v>
      </c>
      <c r="L30" s="9" t="n">
        <f>J30*SIN(RADIANS($B$2))+E30*COS(RADIANS($B$2))</f>
        <v>-10</v>
      </c>
      <c r="M30" s="9" t="n">
        <f>-7.010*SIN(RADIANS($B$3))+F30*COS(RADIANS($B$3))</f>
        <v>15</v>
      </c>
      <c r="N30" s="9" t="n">
        <f>SQRT(K30^2+(L30-H30)^2+(M30-I30)^2)</f>
        <v>31.718132952618756</v>
      </c>
      <c r="O30" s="9" t="n">
        <f>SQRT(D30^2+(E30-H30)^2+(F30-I30)^2)</f>
        <v>31.71813295261876</v>
      </c>
      <c r="P30" s="9" t="n">
        <f>N30-O30</f>
        <v>-3.552713678800501e-15</v>
      </c>
      <c r="Q30" s="9" t="n">
        <f>P30*360/(PI()*$B$4)</f>
        <v>-1.0177774980683254e-13</v>
      </c>
    </row>
    <row r="31">
      <c r="A31" s="9" t="n">
        <v>26</v>
      </c>
      <c r="B31" s="9" t="str">
        <v>右后手腕</v>
      </c>
      <c r="C31" s="9" t="str">
        <v>Back</v>
      </c>
      <c r="D31" s="9" t="n">
        <v>31.007</v>
      </c>
      <c r="E31" s="9" t="n">
        <v>19.25</v>
      </c>
      <c r="F31" s="9" t="n">
        <v>7.25</v>
      </c>
      <c r="G31" s="9" t="n">
        <v>0</v>
      </c>
      <c r="H31" s="9" t="n">
        <v>15.441</v>
      </c>
      <c r="I31" s="9" t="n">
        <v>1.351</v>
      </c>
      <c r="J31" s="9" t="n">
        <f>16.000+7.010*COS(RADIANS($B$3))+F31*SIN(RADIANS($B$3))</f>
        <v>23.009999999999998</v>
      </c>
      <c r="K31" s="9" t="n">
        <f>7.997+J31*COS(RADIANS($B$2))-E31*SIN(RADIANS($B$2))</f>
        <v>31.006999999999998</v>
      </c>
      <c r="L31" s="9" t="n">
        <f>J31*SIN(RADIANS($B$2))+E31*COS(RADIANS($B$2))</f>
        <v>19.25</v>
      </c>
      <c r="M31" s="9" t="n">
        <f>-7.010*SIN(RADIANS($B$3))+F31*COS(RADIANS($B$3))</f>
        <v>7.25</v>
      </c>
      <c r="N31" s="9" t="n">
        <f>SQRT(K31^2+(L31-H31)^2+(M31-I31)^2)</f>
        <v>31.79214888930913</v>
      </c>
      <c r="O31" s="9" t="n">
        <f>SQRT(D31^2+(E31-H31)^2+(F31-I31)^2)</f>
        <v>31.792148889309132</v>
      </c>
      <c r="P31" s="9" t="n">
        <f>N31-O31</f>
        <v>-3.552713678800501e-15</v>
      </c>
      <c r="Q31" s="9" t="n">
        <f>P31*360/(PI()*$B$4)</f>
        <v>-1.0177774980683254e-13</v>
      </c>
    </row>
    <row r="32">
      <c r="A32" s="9" t="n">
        <v>6</v>
      </c>
      <c r="B32" s="9" t="str">
        <v>拇短伸肌</v>
      </c>
      <c r="C32" s="9" t="str">
        <v>Back</v>
      </c>
      <c r="D32" s="9" t="n">
        <v>31.007</v>
      </c>
      <c r="E32" s="9" t="n">
        <v>-15.38</v>
      </c>
      <c r="F32" s="9" t="n">
        <v>11.326</v>
      </c>
      <c r="G32" s="9" t="n">
        <v>0</v>
      </c>
      <c r="H32" s="9" t="n">
        <v>-14.972</v>
      </c>
      <c r="I32" s="9" t="n">
        <v>4.012</v>
      </c>
      <c r="J32" s="9" t="n">
        <f>16.000+7.010*COS(RADIANS($B$3))+F32*SIN(RADIANS($B$3))</f>
        <v>23.009999999999998</v>
      </c>
      <c r="K32" s="9" t="n">
        <f>7.997+J32*COS(RADIANS($B$2))-E32*SIN(RADIANS($B$2))</f>
        <v>31.006999999999998</v>
      </c>
      <c r="L32" s="9" t="n">
        <f>J32*SIN(RADIANS($B$2))+E32*COS(RADIANS($B$2))</f>
        <v>-15.38</v>
      </c>
      <c r="M32" s="9" t="n">
        <f>-7.010*SIN(RADIANS($B$3))+F32*COS(RADIANS($B$3))</f>
        <v>11.326</v>
      </c>
      <c r="N32" s="9" t="n">
        <f>SQRT(K32^2+(L32-H32)^2+(M32-I32)^2)</f>
        <v>31.860557261290957</v>
      </c>
      <c r="O32" s="9" t="n">
        <f>SQRT(D32^2+(E32-H32)^2+(F32-I32)^2)</f>
        <v>31.86055726129096</v>
      </c>
      <c r="P32" s="9" t="n">
        <f>N32-O32</f>
        <v>-3.552713678800501e-15</v>
      </c>
      <c r="Q32" s="9" t="n">
        <f>P32*360/(PI()*$B$4)</f>
        <v>-1.0177774980683254e-13</v>
      </c>
    </row>
    <row r="33">
      <c r="A33" s="9" t="n">
        <v>28</v>
      </c>
      <c r="B33" s="9" t="str">
        <v>食指外展</v>
      </c>
      <c r="C33" s="9" t="str">
        <v>Front</v>
      </c>
      <c r="D33" s="9" t="n">
        <v>31.007</v>
      </c>
      <c r="E33" s="9" t="n">
        <v>-3</v>
      </c>
      <c r="F33" s="9" t="n">
        <v>-12.75</v>
      </c>
      <c r="G33" s="9" t="n">
        <v>0</v>
      </c>
      <c r="H33" s="9" t="n">
        <v>-13.295</v>
      </c>
      <c r="I33" s="9" t="n">
        <v>-2.344</v>
      </c>
      <c r="J33" s="9" t="n">
        <f>16.000+7.010*COS(RADIANS($B$3))+F33*SIN(RADIANS($B$3))</f>
        <v>23.009999999999998</v>
      </c>
      <c r="K33" s="9" t="n">
        <f>7.997+J33*COS(RADIANS($B$2))-E33*SIN(RADIANS($B$2))</f>
        <v>31.006999999999998</v>
      </c>
      <c r="L33" s="9" t="n">
        <f>J33*SIN(RADIANS($B$2))+E33*COS(RADIANS($B$2))</f>
        <v>-3</v>
      </c>
      <c r="M33" s="9" t="n">
        <f>-7.010*SIN(RADIANS($B$3))+F33*COS(RADIANS($B$3))</f>
        <v>-12.75</v>
      </c>
      <c r="N33" s="9" t="n">
        <f>SQRT(K33^2+(L33-H33)^2+(M33-I33)^2)</f>
        <v>34.288568211577456</v>
      </c>
      <c r="O33" s="9" t="n">
        <f>SQRT(D33^2+(E33-H33)^2+(F33-I33)^2)</f>
        <v>34.288568211577456</v>
      </c>
      <c r="P33" s="9" t="n">
        <f>N33-O33</f>
        <v>0</v>
      </c>
      <c r="Q33" s="9" t="n">
        <f>P33*360/(PI()*$B$4)</f>
        <v>0</v>
      </c>
    </row>
    <row r="34">
      <c r="A34" s="9" t="n">
        <v>4</v>
      </c>
      <c r="B34" s="9" t="str">
        <v>拇长屈肌</v>
      </c>
      <c r="C34" s="9" t="str">
        <v>Front</v>
      </c>
      <c r="D34" s="9" t="n">
        <v>31.007</v>
      </c>
      <c r="E34" s="9" t="n">
        <v>-4.5</v>
      </c>
      <c r="F34" s="9" t="n">
        <v>-15.25</v>
      </c>
      <c r="G34" s="9" t="n">
        <v>0</v>
      </c>
      <c r="H34" s="9" t="n">
        <v>-14.048</v>
      </c>
      <c r="I34" s="9" t="n">
        <v>-6.551</v>
      </c>
      <c r="J34" s="9" t="n">
        <f>16.000+7.010*COS(RADIANS($B$3))+F34*SIN(RADIANS($B$3))</f>
        <v>23.009999999999998</v>
      </c>
      <c r="K34" s="9" t="n">
        <f>7.997+J34*COS(RADIANS($B$2))-E34*SIN(RADIANS($B$2))</f>
        <v>31.006999999999998</v>
      </c>
      <c r="L34" s="9" t="n">
        <f>J34*SIN(RADIANS($B$2))+E34*COS(RADIANS($B$2))</f>
        <v>-4.5</v>
      </c>
      <c r="M34" s="9" t="n">
        <f>-7.010*SIN(RADIANS($B$3))+F34*COS(RADIANS($B$3))</f>
        <v>-15.25</v>
      </c>
      <c r="N34" s="9" t="n">
        <f>SQRT(K34^2+(L34-H34)^2+(M34-I34)^2)</f>
        <v>33.589744774261085</v>
      </c>
      <c r="O34" s="9" t="n">
        <f>SQRT(D34^2+(E34-H34)^2+(F34-I34)^2)</f>
        <v>33.589744774261085</v>
      </c>
      <c r="P34" s="9" t="n">
        <f>N34-O34</f>
        <v>0</v>
      </c>
      <c r="Q34" s="9" t="n">
        <f>P34*360/(PI()*$B$4)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FormatPr defaultRowHeight="15"/>
  <cols>
    <col min="1" max="1" width="12" hidden="0" customWidth="1"/>
    <col min="2" max="2" width="22" hidden="0" customWidth="1"/>
    <col min="4" max="4" width="48" hidden="0" customWidth="1"/>
    <col min="5" max="5" width="48" hidden="0" customWidth="1"/>
    <col min="6" max="6" width="48" hidden="0" customWidth="1"/>
    <col min="7" max="7" width="48" hidden="0" customWidth="1"/>
    <col min="8" max="8" width="48" hidden="0" customWidth="1"/>
  </cols>
  <sheetData>
    <row r="1">
      <c r="A1" s="20" t="str">
        <v>Motor_ID</v>
      </c>
      <c r="B1" s="20" t="str">
        <v>Name</v>
      </c>
      <c r="C1" s="20" t="str">
        <v>Region</v>
      </c>
      <c r="D1" s="20" t="str">
        <v>A_formula</v>
      </c>
      <c r="E1" s="20" t="str">
        <v>X_formula</v>
      </c>
      <c r="F1" s="20" t="str">
        <v>Y_formula</v>
      </c>
      <c r="G1" s="20" t="str">
        <v>Z_formula</v>
      </c>
      <c r="H1" s="20" t="str">
        <v>L_formula</v>
      </c>
    </row>
    <row r="2">
      <c r="A2" t="n">
        <v>17</v>
      </c>
      <c r="B2" t="str">
        <v>食指指浅屈肌</v>
      </c>
      <c r="C2" t="str">
        <v>Front</v>
      </c>
      <c r="D2" t="inlineStr">
        <is>
          <t>A_17(β)=16.000+7.010*cos(β)-17.750*sin(β)</t>
        </is>
      </c>
      <c r="E2" t="inlineStr">
        <is>
          <t>X_17=7.997+A_17*cos(α) - 0.000 sinα</t>
        </is>
      </c>
      <c r="F2" t="inlineStr">
        <is>
          <t>Y_17=A_17*sin(α) + 0.000 cosα</t>
        </is>
      </c>
      <c r="G2" t="inlineStr">
        <is>
          <t>Z_17=-7.010*sin(β) - 17.750 cosβ</t>
        </is>
      </c>
      <c r="H2" t="inlineStr">
        <is>
          <t>L_17(α,β)=sqrt(X_17^2+(Y_17 - 11.691)^2+(Z_17 + 6.750)^2)</t>
        </is>
      </c>
    </row>
    <row r="3">
      <c r="A3" t="n">
        <v>2</v>
      </c>
      <c r="B3" t="str">
        <v>中指指浅屈肌</v>
      </c>
      <c r="C3" t="str">
        <v>Front</v>
      </c>
      <c r="D3" t="str">
        <v>A_2(β)=16.000+7.010*cos(β)-15.250*sin(β)</v>
      </c>
      <c r="E3" t="str">
        <v>X_2=7.997+A_2*cos(α) + 1.500 sinα</v>
      </c>
      <c r="F3" t="str">
        <v>Y_2=A_2*sin(α) - 1.500 cosα</v>
      </c>
      <c r="G3" t="str">
        <v>Z_2=-7.010*sin(β) - 15.250 cosβ</v>
      </c>
      <c r="H3" t="str">
        <v>L_2(α,β)=sqrt(X_2^2+(Y_2 + 12.697)^2+(Z_2 + 8.890)^2)</v>
      </c>
    </row>
    <row r="4">
      <c r="A4" t="n">
        <v>3</v>
      </c>
      <c r="B4" t="str">
        <v>无名指屈肌</v>
      </c>
      <c r="C4" t="str">
        <v>Front</v>
      </c>
      <c r="D4" t="str">
        <v>A_3(β)=16.000+7.010*cos(β)-17.750*sin(β)</v>
      </c>
      <c r="E4" t="str">
        <v>X_3=7.997+A_3*cos(α) + 3.000 sinα</v>
      </c>
      <c r="F4" t="str">
        <v>Y_3=A_3*sin(α) - 3.000 cosα</v>
      </c>
      <c r="G4" t="str">
        <v>Z_3=-7.010*sin(β) - 17.750 cosβ</v>
      </c>
      <c r="H4" t="str">
        <v>L_3(α,β)=sqrt(X_3^2+(Y_3 + 11.691)^2+(Z_3 + 6.750)^2)</v>
      </c>
    </row>
    <row r="5">
      <c r="A5" t="n">
        <v>27</v>
      </c>
      <c r="B5" t="str">
        <v>小指屈肌</v>
      </c>
      <c r="C5" t="str">
        <v>Front</v>
      </c>
      <c r="D5" t="inlineStr">
        <is>
          <t>A_27(β)=16.000+7.010*cos(β)-15.250*sin(β)</t>
        </is>
      </c>
      <c r="E5" t="inlineStr">
        <is>
          <t>X_27=7.997+A_27*cos(α) + 4.500 sinα</t>
        </is>
      </c>
      <c r="F5" t="inlineStr">
        <is>
          <t>Y_27=A_27*sin(α) - 4.500 cosα</t>
        </is>
      </c>
      <c r="G5" t="inlineStr">
        <is>
          <t>Z_27=-7.010*sin(β) - 15.250 cosβ</t>
        </is>
      </c>
      <c r="H5" t="inlineStr">
        <is>
          <t>L_27(α,β)=sqrt(X_27^2+(Y_27 + 14.048)^2+(Z_27 + 6.551)^2)</t>
        </is>
      </c>
    </row>
    <row r="6">
      <c r="A6" t="n">
        <v>19</v>
      </c>
      <c r="B6" t="str">
        <v>左前手腕</v>
      </c>
      <c r="C6" t="str">
        <v>Front</v>
      </c>
      <c r="D6" t="inlineStr">
        <is>
          <t>A_19(β)=16.000+7.010*cos(β)-9.250*sin(β)</t>
        </is>
      </c>
      <c r="E6" t="inlineStr">
        <is>
          <t>X_19=7.997+A_19*cos(α) + 19.250 sinα</t>
        </is>
      </c>
      <c r="F6" t="inlineStr">
        <is>
          <t>Y_19=A_19*sin(α) - 19.250 cosα</t>
        </is>
      </c>
      <c r="G6" t="inlineStr">
        <is>
          <t>Z_19=-7.010*sin(β) - 9.250 cosβ</t>
        </is>
      </c>
      <c r="H6" t="inlineStr">
        <is>
          <t>L_19(α,β)=sqrt(X_19^2+(Y_19 + 15.441)^2+(Z_19 + 1.351)^2)</t>
        </is>
      </c>
    </row>
    <row r="7">
      <c r="A7" t="n">
        <v>7</v>
      </c>
      <c r="B7" t="str">
        <v>无名指外展</v>
      </c>
      <c r="C7" t="str">
        <v>Back</v>
      </c>
      <c r="D7" t="inlineStr">
        <is>
          <t>A_7(β)=16.000+7.010*cos(β)+11.326*sin(β)</t>
        </is>
      </c>
      <c r="E7" t="inlineStr">
        <is>
          <t>X_7=7.997+A_7*cos(α) + 11.569 sinα</t>
        </is>
      </c>
      <c r="F7" t="inlineStr">
        <is>
          <t>Y_7=A_7*sin(α) - 11.569 cosα</t>
        </is>
      </c>
      <c r="G7" t="inlineStr">
        <is>
          <t>Z_7=-7.010*sin(β) + 11.326 cosβ</t>
        </is>
      </c>
      <c r="H7" t="inlineStr">
        <is>
          <t>L_7(α,β)=sqrt(X_7^2+(Y_7 + 14.048)^2+(Z_7 - 6.551)^2)</t>
        </is>
      </c>
    </row>
    <row r="8">
      <c r="A8" t="n">
        <v>24</v>
      </c>
      <c r="B8" t="str">
        <v>无名指伸肌</v>
      </c>
      <c r="C8" t="str">
        <v>Back</v>
      </c>
      <c r="D8" t="inlineStr">
        <is>
          <t>A_24(β)=16.000+7.010*cos(β)+14.837*sin(β)</t>
        </is>
      </c>
      <c r="E8" t="inlineStr">
        <is>
          <t>X_24=7.997+A_24*cos(α) + 6.121 sinα</t>
        </is>
      </c>
      <c r="F8" t="inlineStr">
        <is>
          <t>Y_24=A_24*sin(α) - 6.121 cosα</t>
        </is>
      </c>
      <c r="G8" t="inlineStr">
        <is>
          <t>Z_24=-7.010*sin(β) + 14.837 cosβ</t>
        </is>
      </c>
      <c r="H8" t="inlineStr">
        <is>
          <t>L_24(α,β)=sqrt(X_24^2+(Y_24 + 13.295)^2+(Z_24 - 2.344)^2)</t>
        </is>
      </c>
    </row>
    <row r="9">
      <c r="A9" t="n">
        <v>8</v>
      </c>
      <c r="B9" t="str">
        <v>无名指内收</v>
      </c>
      <c r="C9" t="str">
        <v>Back</v>
      </c>
      <c r="D9" t="str">
        <v>A_8(β)=16.000+7.010*cos(β)+11.326*sin(β)</v>
      </c>
      <c r="E9" t="str">
        <v>X_8=7.997+A_8*cos(α) + 2.165 sinα</v>
      </c>
      <c r="F9" t="str">
        <v>Y_8=A_8*sin(α) - 2.165 cosα</v>
      </c>
      <c r="G9" t="str">
        <v>Z_8=-7.010*sin(β) + 11.326 cosβ</v>
      </c>
      <c r="H9" t="str">
        <v>L_8(α,β)=sqrt(X_8^2+(Y_8 + 12.686)^2+(Z_8 - 4.617)^2)</v>
      </c>
    </row>
    <row r="10">
      <c r="A10" t="n">
        <v>9</v>
      </c>
      <c r="B10" t="str">
        <v>中指伸肌</v>
      </c>
      <c r="C10" t="str">
        <v>Back</v>
      </c>
      <c r="D10" t="str">
        <v>A_9(β)=16.000+7.010*cos(β)+14.779*sin(β)</v>
      </c>
      <c r="E10" t="str">
        <v>X_9=7.997+A_9*cos(α) - 0.335 sinα</v>
      </c>
      <c r="F10" t="str">
        <v>Y_9=A_9*sin(α) + 0.335 cosα</v>
      </c>
      <c r="G10" t="str">
        <v>Z_9=-7.010*sin(β) + 14.779 cosβ</v>
      </c>
      <c r="H10" t="str">
        <v>L_9(α,β)=sqrt(X_9^2+(Y_9 - 11.691)^2+(Z_9 - 6.750)^2)</v>
      </c>
    </row>
    <row r="11">
      <c r="A11" t="n">
        <v>11</v>
      </c>
      <c r="B11" t="str">
        <v>食指伸肌</v>
      </c>
      <c r="C11" t="str">
        <v>Back</v>
      </c>
      <c r="D11" t="inlineStr">
        <is>
          <t>A_11(β)=16.000+7.010*cos(β)+13.735*sin(β)</t>
        </is>
      </c>
      <c r="E11" t="inlineStr">
        <is>
          <t>X_11=7.997+A_11*cos(α) - 7.360 sinα</t>
        </is>
      </c>
      <c r="F11" t="inlineStr">
        <is>
          <t>Y_11=A_11*sin(α) + 7.360 cosα</t>
        </is>
      </c>
      <c r="G11" t="inlineStr">
        <is>
          <t>Z_11=-7.010*sin(β) + 13.735 cosβ</t>
        </is>
      </c>
      <c r="H11" t="inlineStr">
        <is>
          <t>L_11(α,β)=sqrt(X_11^2+(Y_11 - 12.697)^2+(Z_11 - 8.890)^2)</t>
        </is>
      </c>
    </row>
    <row r="12">
      <c r="A12" t="n">
        <v>26</v>
      </c>
      <c r="B12" t="str">
        <v>右后手腕</v>
      </c>
      <c r="C12" t="str">
        <v>Back</v>
      </c>
      <c r="D12" t="inlineStr">
        <is>
          <t>A_26(β)=16.000+7.010*cos(β)+13.735*sin(β)</t>
        </is>
      </c>
      <c r="E12" t="inlineStr">
        <is>
          <t>X_26=7.997+A_26*cos(α) - 11.078 sinα</t>
        </is>
      </c>
      <c r="F12" t="inlineStr">
        <is>
          <t>Y_26=A_26*sin(α) + 11.078 cosα</t>
        </is>
      </c>
      <c r="G12" t="inlineStr">
        <is>
          <t>Z_26=-7.010*sin(β) + 13.735 cosβ</t>
        </is>
      </c>
      <c r="H12" t="inlineStr">
        <is>
          <t>L_26(α,β)=sqrt(X_26^2+(Y_26 - 14.048)^2+(Z_26 - 6.551)^2)</t>
        </is>
      </c>
    </row>
    <row r="13">
      <c r="A13" t="n">
        <v>20</v>
      </c>
      <c r="B13" t="str">
        <v>拇短伸肌</v>
      </c>
      <c r="C13" t="str">
        <v>Back</v>
      </c>
      <c r="D13" t="inlineStr">
        <is>
          <t>A_20(β)=16.000+7.010*cos(β)+11.326*sin(β)</t>
        </is>
      </c>
      <c r="E13" t="inlineStr">
        <is>
          <t>X_20=7.997+A_20*cos(α) - 19.000 sinα</t>
        </is>
      </c>
      <c r="F13" t="inlineStr">
        <is>
          <t>Y_20=A_20*sin(α) + 19.000 cosα</t>
        </is>
      </c>
      <c r="G13" t="inlineStr">
        <is>
          <t>Z_20=-7.010*sin(β) + 11.326 cosβ</t>
        </is>
      </c>
      <c r="H13" t="inlineStr">
        <is>
          <t>L_20(α,β)=sqrt(X_20^2+(Y_20 - 15.441)^2+(Z_20 - 1.351)^2)</t>
        </is>
      </c>
    </row>
    <row r="14">
      <c r="A14" t="n">
        <v>14</v>
      </c>
      <c r="B14" t="str">
        <v>食指外展</v>
      </c>
      <c r="C14" t="str">
        <v>Front</v>
      </c>
      <c r="D14" t="inlineStr">
        <is>
          <t>A_14(β)=16.000+7.010*cos(β)-12.750*sin(β)</t>
        </is>
      </c>
      <c r="E14" t="inlineStr">
        <is>
          <t>X_14=7.997+A_14*cos(α) - 3.000 sinα</t>
        </is>
      </c>
      <c r="F14" t="inlineStr">
        <is>
          <t>Y_14=A_14*sin(α) + 3.000 cosα</t>
        </is>
      </c>
      <c r="G14" t="inlineStr">
        <is>
          <t>Z_14=-7.010*sin(β) - 12.750 cosβ</t>
        </is>
      </c>
      <c r="H14" t="inlineStr">
        <is>
          <t>L_14(α,β)=sqrt(X_14^2+(Y_14 - 12.697)^2+(Z_14 + 8.890)^2)</t>
        </is>
      </c>
    </row>
    <row r="15">
      <c r="A15" t="n">
        <v>18</v>
      </c>
      <c r="B15" t="str">
        <v>拇长屈肌</v>
      </c>
      <c r="C15" t="str">
        <v>Front</v>
      </c>
      <c r="D15" t="inlineStr">
        <is>
          <t>A_18(β)=16.000+7.010*cos(β)-15.250*sin(β)</t>
        </is>
      </c>
      <c r="E15" t="inlineStr">
        <is>
          <t>X_18=7.997+A_18*cos(α) - 4.500 sinα</t>
        </is>
      </c>
      <c r="F15" t="inlineStr">
        <is>
          <t>Y_18=A_18*sin(α) + 4.500 cosα</t>
        </is>
      </c>
      <c r="G15" t="inlineStr">
        <is>
          <t>Z_18=-7.010*sin(β) - 15.250 cosβ</t>
        </is>
      </c>
      <c r="H15" t="inlineStr">
        <is>
          <t>L_18(α,β)=sqrt(X_18^2+(Y_18 - 14.048)^2+(Z_18 + 6.551)^2)</t>
        </is>
      </c>
    </row>
    <row r="16">
      <c r="A16" t="n">
        <v>15</v>
      </c>
      <c r="B16" t="str">
        <v>食指内收</v>
      </c>
      <c r="C16" t="str">
        <v>Front</v>
      </c>
      <c r="D16" t="str">
        <v>A_15(β)=16.000+7.010*cos(β)-12.750*sin(β)</v>
      </c>
      <c r="E16" t="str">
        <v>X_15=7.997+A_15*cos(α) - 0.000 sinα</v>
      </c>
      <c r="F16" t="str">
        <v>Y_15=A_15*sin(α) + 0.000 cosα</v>
      </c>
      <c r="G16" t="str">
        <v>Z_15=-7.010*sin(β) - 12.750 cosβ</v>
      </c>
      <c r="H16" t="str">
        <v>L_15(α,β)=sqrt(X_15^2+(Y_15 + 12.686)^2+(Z_15 + 4.617)^2)</v>
      </c>
    </row>
    <row r="17">
      <c r="A17" t="n">
        <v>16</v>
      </c>
      <c r="B17" t="str">
        <v>中指指深屈肌</v>
      </c>
      <c r="C17" t="str">
        <v>Front</v>
      </c>
      <c r="D17" t="str">
        <v>A_16(β)=16.000+7.010*cos(β)-15.250*sin(β)</v>
      </c>
      <c r="E17" t="str">
        <v>X_16=7.997+A_16*cos(α) - 1.500 sinα</v>
      </c>
      <c r="F17" t="str">
        <v>Y_16=A_16*sin(α) + 1.500 cosα</v>
      </c>
      <c r="G17" t="str">
        <v>Z_16=-7.010*sin(β) - 15.250 cosβ</v>
      </c>
      <c r="H17" t="str">
        <v>L_16(α,β)=sqrt(X_16^2+(Y_16 - 12.686)^2+(Z_16 + 4.617)^2)</v>
      </c>
    </row>
    <row r="18">
      <c r="A18" t="n">
        <v>1</v>
      </c>
      <c r="B18" t="str">
        <v>食指指深屈肌</v>
      </c>
      <c r="C18" t="str">
        <v>Front</v>
      </c>
      <c r="D18" t="inlineStr">
        <is>
          <t>A_1(β)=16.000+7.010*cos(β)-17.750*sin(β)</t>
        </is>
      </c>
      <c r="E18" t="inlineStr">
        <is>
          <t>X_1=7.997+A_1*cos(α) - 3.000 sinα</t>
        </is>
      </c>
      <c r="F18" t="inlineStr">
        <is>
          <t>Y_1=A_1*sin(α) + 3.000 cosα</t>
        </is>
      </c>
      <c r="G18" t="inlineStr">
        <is>
          <t>Z_1=-7.010*sin(β) - 17.750 cosβ</t>
        </is>
      </c>
      <c r="H18" t="inlineStr">
        <is>
          <t>L_1(α,β)=sqrt(X_1^2+(Y_1 - 13.295)^2+(Z_1 + 2.344)^2)</t>
        </is>
      </c>
    </row>
    <row r="19">
      <c r="A19" t="n">
        <v>5</v>
      </c>
      <c r="B19" t="str">
        <v>右前手腕</v>
      </c>
      <c r="C19" t="str">
        <v>Front</v>
      </c>
      <c r="D19" t="inlineStr">
        <is>
          <t>A_5(β)=16.000+7.010*cos(β)-10.250*sin(β)</t>
        </is>
      </c>
      <c r="E19" t="inlineStr">
        <is>
          <t>X_5=7.997+A_5*cos(α) - 13.500 sinα</t>
        </is>
      </c>
      <c r="F19" t="inlineStr">
        <is>
          <t>Y_5=A_5*sin(α) + 13.500 cosα</t>
        </is>
      </c>
      <c r="G19" t="inlineStr">
        <is>
          <t>Z_5=-7.010*sin(β) - 10.250 cosβ</t>
        </is>
      </c>
      <c r="H19" t="inlineStr">
        <is>
          <t>L_5(α,β)=sqrt(X_5^2+(Y_5 - 14.972)^2+(Z_5 + 4.012)^2)</t>
        </is>
      </c>
    </row>
    <row r="20">
      <c r="A20" t="n">
        <v>13</v>
      </c>
      <c r="B20" t="str">
        <v>拇展肌</v>
      </c>
      <c r="C20" t="str">
        <v>Front</v>
      </c>
      <c r="D20" t="inlineStr">
        <is>
          <t>A_13(β)=16.000+7.010*cos(β)-17.000*sin(β)</t>
        </is>
      </c>
      <c r="E20" t="inlineStr">
        <is>
          <t>X_13=7.997+A_13*cos(α) - 19.000 sinα</t>
        </is>
      </c>
      <c r="F20" t="inlineStr">
        <is>
          <t>Y_13=A_13*sin(α) + 19.000 cosα</t>
        </is>
      </c>
      <c r="G20" t="inlineStr">
        <is>
          <t>Z_13=-7.010*sin(β) - 17.000 cosβ</t>
        </is>
      </c>
      <c r="H20" t="inlineStr">
        <is>
          <t>L_13(α,β)=sqrt(X_13^2+(Y_13 - 15.441)^2+(Z_13 + 1.351)^2)</t>
        </is>
      </c>
    </row>
    <row r="21">
      <c r="A21" t="n">
        <v>21</v>
      </c>
      <c r="B21" t="str">
        <v>拇长伸肌</v>
      </c>
      <c r="C21" t="str">
        <v>Back</v>
      </c>
      <c r="D21" t="inlineStr">
        <is>
          <t>A_21(β)=16.000+7.010*cos(β)+11.326*sin(β)</t>
        </is>
      </c>
      <c r="E21" t="inlineStr">
        <is>
          <t>X_21=7.997+A_21*cos(α) - 12.635 sinα</t>
        </is>
      </c>
      <c r="F21" t="inlineStr">
        <is>
          <t>Y_21=A_21*sin(α) + 12.635 cosα</t>
        </is>
      </c>
      <c r="G21" t="inlineStr">
        <is>
          <t>Z_21=-7.010*sin(β) + 11.326 cosβ</t>
        </is>
      </c>
      <c r="H21" t="inlineStr">
        <is>
          <t>L_21(α,β)=sqrt(X_21^2+(Y_21 - 14.972)^2+(Z_21 - 4.012)^2)</t>
        </is>
      </c>
    </row>
    <row r="22">
      <c r="A22" t="n">
        <v>22</v>
      </c>
      <c r="B22" t="str">
        <v>拇收肌</v>
      </c>
      <c r="C22" t="str">
        <v>Back</v>
      </c>
      <c r="D22" t="inlineStr">
        <is>
          <t>A_22(β)=16.000+7.010*cos(β)+11.326*sin(β)</t>
        </is>
      </c>
      <c r="E22" t="inlineStr">
        <is>
          <t>X_22=7.997+A_22*cos(α) - 9.684 sinα</t>
        </is>
      </c>
      <c r="F22" t="inlineStr">
        <is>
          <t>Y_22=A_22*sin(α) + 9.684 cosα</t>
        </is>
      </c>
      <c r="G22" t="inlineStr">
        <is>
          <t>Z_22=-7.010*sin(β) + 11.326 cosβ</t>
        </is>
      </c>
      <c r="H22" t="inlineStr">
        <is>
          <t>L_22(α,β)=sqrt(X_22^2+(Y_22 - 13.295)^2+(Z_22 - 2.344)^2)</t>
        </is>
      </c>
    </row>
    <row r="23">
      <c r="A23" t="n">
        <v>10</v>
      </c>
      <c r="B23" t="str">
        <v>中指外展</v>
      </c>
      <c r="C23" t="str">
        <v>Back</v>
      </c>
      <c r="D23" t="inlineStr">
        <is>
          <t>A_10(β)=16.000+7.010*cos(β)+11.326*sin(β)</t>
        </is>
      </c>
      <c r="E23" t="inlineStr">
        <is>
          <t>X_10=7.997+A_10*cos(α) - 5.610 sinα</t>
        </is>
      </c>
      <c r="F23" t="inlineStr">
        <is>
          <t>Y_10=A_10*sin(α) + 5.610 cosα</t>
        </is>
      </c>
      <c r="G23" t="inlineStr">
        <is>
          <t>Z_10=-7.010*sin(β) + 11.326 cosβ</t>
        </is>
      </c>
      <c r="H23" t="inlineStr">
        <is>
          <t>L_10(α,β)=sqrt(X_10^2+(Y_10 - 12.686)^2+(Z_10 - 4.617)^2)</t>
        </is>
      </c>
    </row>
    <row r="24">
      <c r="A24" t="n">
        <v>23</v>
      </c>
      <c r="B24" t="str">
        <v>中指内收</v>
      </c>
      <c r="C24" t="str">
        <v>Back</v>
      </c>
      <c r="D24" t="str">
        <v>A_23(β)=16.000+7.010*cos(β)+11.326*sin(β)</v>
      </c>
      <c r="E24" t="str">
        <v>X_23=7.997+A_23*cos(α) - 1.835 sinα</v>
      </c>
      <c r="F24" t="str">
        <v>Y_23=A_23*sin(α) + 1.835 cosα</v>
      </c>
      <c r="G24" t="str">
        <v>Z_23=-7.010*sin(β) + 11.326 cosβ</v>
      </c>
      <c r="H24" t="str">
        <v>L_23(α,β)=sqrt(X_23^2+(Y_23 + 11.691)^2+(Z_23 - 6.750)^2)</v>
      </c>
    </row>
    <row r="25">
      <c r="A25" t="n">
        <v>25</v>
      </c>
      <c r="B25" t="str">
        <v>小指伸肌</v>
      </c>
      <c r="C25" t="str">
        <v>Back</v>
      </c>
      <c r="D25" t="inlineStr">
        <is>
          <t>A_25(β)=16.000+7.010*cos(β)+15.000*sin(β)</t>
        </is>
      </c>
      <c r="E25" t="inlineStr">
        <is>
          <t>X_25=7.997+A_25*cos(α) + 10.000 sinα</t>
        </is>
      </c>
      <c r="F25" t="inlineStr">
        <is>
          <t>Y_25=A_25*sin(α) - 10.000 cosα</t>
        </is>
      </c>
      <c r="G25" t="inlineStr">
        <is>
          <t>Z_25=-7.010*sin(β) + 15.000 cosβ</t>
        </is>
      </c>
      <c r="H25" t="inlineStr">
        <is>
          <t>L_25(α,β)=sqrt(X_25^2+(Y_25 + 12.697)^2+(Z_25 - 8.890)^2)</t>
        </is>
      </c>
    </row>
    <row r="26">
      <c r="A26" t="n">
        <v>12</v>
      </c>
      <c r="B26" t="str">
        <v>左后手腕</v>
      </c>
      <c r="C26" t="str">
        <v>Back</v>
      </c>
      <c r="D26" t="inlineStr">
        <is>
          <t>A_12(β)=16.000+7.010*cos(β)+10.250*sin(β)</t>
        </is>
      </c>
      <c r="E26" t="inlineStr">
        <is>
          <t>X_12=7.997+A_12*cos(α) + 18.000 sinα</t>
        </is>
      </c>
      <c r="F26" t="inlineStr">
        <is>
          <t>Y_12=A_12*sin(α) - 18.000 cosα</t>
        </is>
      </c>
      <c r="G26" t="inlineStr">
        <is>
          <t>Z_12=-7.010*sin(β) + 10.250 cosβ</t>
        </is>
      </c>
      <c r="H26" t="inlineStr">
        <is>
          <t>L_12(α,β)=sqrt(X_12^2+(Y_12 + 14.972)^2+(Z_12 - 4.012)^2)</t>
        </is>
      </c>
    </row>
    <row r="27">
      <c r="A27" t="n">
        <v>6</v>
      </c>
      <c r="B27" t="str">
        <v>小指外展</v>
      </c>
      <c r="C27" t="str">
        <v>Back</v>
      </c>
      <c r="D27" t="inlineStr">
        <is>
          <t>A_6(β)=16.000+7.010*cos(β)+11.326*sin(β)</t>
        </is>
      </c>
      <c r="E27" t="inlineStr">
        <is>
          <t>X_6=7.997+A_6*cos(α) + 15.380 sinα</t>
        </is>
      </c>
      <c r="F27" t="inlineStr">
        <is>
          <t>Y_6=A_6*sin(α) - 15.380 cosα</t>
        </is>
      </c>
      <c r="G27" t="inlineStr">
        <is>
          <t>Z_6=-7.010*sin(β) + 11.326 cosβ</t>
        </is>
      </c>
      <c r="H27" t="inlineStr">
        <is>
          <t>L_6(α,β)=sqrt(X_6^2+(Y_6 + 15.441)^2+(Z_6 - 1.351)^2)</t>
        </is>
      </c>
    </row>
    <row r="28">
      <c r="A28" t="n">
        <v>4</v>
      </c>
      <c r="B28" t="str">
        <v>小指内收</v>
      </c>
      <c r="C28" t="str">
        <v>Front</v>
      </c>
      <c r="D28" t="inlineStr">
        <is>
          <t>A_4(β)=16.000+7.010*cos(β)-17.000*sin(β)</t>
        </is>
      </c>
      <c r="E28" t="inlineStr">
        <is>
          <t>X_4=7.997+A_4*cos(α) + 10.000 sinα</t>
        </is>
      </c>
      <c r="F28" t="inlineStr">
        <is>
          <t>Y_4=A_4*sin(α) - 10.000 cosα</t>
        </is>
      </c>
      <c r="G28" t="inlineStr">
        <is>
          <t>Z_4=-7.010*sin(β) - 17.000 cosβ</t>
        </is>
      </c>
      <c r="H28" t="inlineStr">
        <is>
          <t>L_4(α,β)=sqrt(X_4^2+(Y_4 + 14.972)^2+(Z_4 + 4.012)^2)</t>
        </is>
      </c>
    </row>
    <row r="29">
      <c r="A29" t="n">
        <v>28</v>
      </c>
      <c r="B29" t="str">
        <v>拇对掌肌</v>
      </c>
      <c r="C29" t="str">
        <v>Front</v>
      </c>
      <c r="D29" t="str">
        <v>A_28(β)=16.000+7.010*cos(β)-12.750*sin(β)</v>
      </c>
      <c r="E29" t="str">
        <v>X_28=7.997+A_28*cos(α) + 3.000 sinα</v>
      </c>
      <c r="F29" t="str">
        <v>Y_28=A_28*sin(α) - 3.000 cosα</v>
      </c>
      <c r="G29" t="str">
        <v>Z_28=-7.010*sin(β) - 12.750 cosβ</v>
      </c>
      <c r="H29" t="str">
        <v>L_28(α,β)=sqrt(X_28^2+(Y_28 + 13.295)^2+(Z_28 + 2.344)^2)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FormatPr defaultRowHeight="15"/>
  <cols>
    <col min="1" max="1" width="12" hidden="0" customWidth="1"/>
    <col min="2" max="2" width="22" hidden="0" customWidth="1"/>
    <col min="4" max="4" width="48" hidden="0" customWidth="1"/>
    <col min="5" max="5" width="48" hidden="0" customWidth="1"/>
    <col min="6" max="6" width="48" hidden="0" customWidth="1"/>
    <col min="7" max="7" width="48" hidden="0" customWidth="1"/>
    <col min="8" max="8" width="48" hidden="0" customWidth="1"/>
  </cols>
  <sheetData>
    <row r="1">
      <c r="A1" s="20" t="str">
        <v>Motor_ID</v>
      </c>
      <c r="B1" s="20" t="str">
        <v>Name</v>
      </c>
      <c r="C1" s="20" t="str">
        <v>Region</v>
      </c>
      <c r="D1" s="20" t="str">
        <v>A_formula</v>
      </c>
      <c r="E1" s="20" t="str">
        <v>X_formula</v>
      </c>
      <c r="F1" s="20" t="str">
        <v>Y_formula</v>
      </c>
      <c r="G1" s="20" t="str">
        <v>Z_formula</v>
      </c>
      <c r="H1" s="20" t="str">
        <v>L_formula</v>
      </c>
    </row>
    <row r="2">
      <c r="A2" t="n">
        <v>1</v>
      </c>
      <c r="B2" t="str">
        <v>食指内收</v>
      </c>
      <c r="C2" t="str">
        <v>Front</v>
      </c>
      <c r="D2" t="str">
        <v>A_1(β)=16.000+7.010*cos(β)-12.750*sin(β)</v>
      </c>
      <c r="E2" t="str">
        <v>X_1=7.997+A_1*cos(α) - 0.000 sinα</v>
      </c>
      <c r="F2" t="str">
        <v>Y_1=A_1*sin(α) + 0.000 cosα</v>
      </c>
      <c r="G2" t="str">
        <v>Z_1=-7.010*sin(β) - 12.750 cosβ</v>
      </c>
      <c r="H2" t="str">
        <v>L_1(α,β)=sqrt(X_1^2+(Y_1 + 12.686)^2+(Z_1 + 4.617)^2)</v>
      </c>
    </row>
    <row r="3">
      <c r="A3" t="n">
        <v>2</v>
      </c>
      <c r="B3" t="str">
        <v>中指指深屈肌</v>
      </c>
      <c r="C3" t="str">
        <v>Front</v>
      </c>
      <c r="D3" t="str">
        <v>A_2(β)=16.000+7.010*cos(β)-17.750*sin(β)</v>
      </c>
      <c r="E3" t="str">
        <v>X_2=7.997+A_2*cos(α) - 0.000 sinα</v>
      </c>
      <c r="F3" t="str">
        <v>Y_2=A_2*sin(α) + 0.000 cosα</v>
      </c>
      <c r="G3" t="str">
        <v>Z_2=-7.010*sin(β) - 17.750 cosβ</v>
      </c>
      <c r="H3" t="str">
        <v>L_2(α,β)=sqrt(X_2^2+(Y_2 - 12.686)^2+(Z_2 + 4.617)^2)</v>
      </c>
    </row>
    <row r="4">
      <c r="A4" t="n">
        <v>15</v>
      </c>
      <c r="B4" t="str">
        <v>食指指深屈肌</v>
      </c>
      <c r="C4" t="str">
        <v>Front</v>
      </c>
      <c r="D4" t="inlineStr">
        <is>
          <t>A_15(β)=16.000+7.010*cos(β)-17.750*sin(β)</t>
        </is>
      </c>
      <c r="E4" t="inlineStr">
        <is>
          <t>X_15=7.997+A_15*cos(α) + 3.000 sinα</t>
        </is>
      </c>
      <c r="F4" t="inlineStr">
        <is>
          <t>Y_15=A_15*sin(α) - 3.000 cosα</t>
        </is>
      </c>
      <c r="G4" t="inlineStr">
        <is>
          <t>Z_15=-7.010*sin(β) - 17.750 cosβ</t>
        </is>
      </c>
      <c r="H4" t="inlineStr">
        <is>
          <t>L_15(α,β)=sqrt(X_15^2+(Y_15 + 12.697)^2+(Z_15 + 8.890)^2)</t>
        </is>
      </c>
    </row>
    <row r="5">
      <c r="A5" t="n">
        <v>5</v>
      </c>
      <c r="B5" t="str">
        <v>右前手腕</v>
      </c>
      <c r="C5" t="str">
        <v>Front</v>
      </c>
      <c r="D5" t="inlineStr">
        <is>
          <t>A_5(β)=16.000+7.010*cos(β)-9.250*sin(β)</t>
        </is>
      </c>
      <c r="E5" t="inlineStr">
        <is>
          <t>X_5=7.997+A_5*cos(α) - 19.250 sinα</t>
        </is>
      </c>
      <c r="F5" t="inlineStr">
        <is>
          <t>Y_5=A_5*sin(α) + 19.250 cosα</t>
        </is>
      </c>
      <c r="G5" t="inlineStr">
        <is>
          <t>Z_5=-7.010*sin(β) - 9.250 cosβ</t>
        </is>
      </c>
      <c r="H5" t="inlineStr">
        <is>
          <t>L_5(α,β)=sqrt(X_5^2+(Y_5 - 15.441)^2+(Z_5 + 1.351)^2)</t>
        </is>
      </c>
    </row>
    <row r="6">
      <c r="A6" t="n">
        <v>27</v>
      </c>
      <c r="B6" t="str">
        <v>拇展肌</v>
      </c>
      <c r="C6" t="str">
        <v>Front</v>
      </c>
      <c r="D6" t="inlineStr">
        <is>
          <t>A_27(β)=16.000+7.010*cos(β)-20.211*sin(β)</t>
        </is>
      </c>
      <c r="E6" t="inlineStr">
        <is>
          <t>X_27=7.997+A_27*cos(α) + 9.500 sinα</t>
        </is>
      </c>
      <c r="F6" t="inlineStr">
        <is>
          <t>Y_27=A_27*sin(α) - 9.500 cosα</t>
        </is>
      </c>
      <c r="G6" t="inlineStr">
        <is>
          <t>Z_27=-7.010*sin(β) - 20.211 cosβ</t>
        </is>
      </c>
      <c r="H6" t="inlineStr">
        <is>
          <t>L_27(α,β)=sqrt(X_27^2+(Y_27 + 14.972)^2+(Z_27 + 4.012)^2)</t>
        </is>
      </c>
    </row>
    <row r="7">
      <c r="A7" t="n">
        <v>7</v>
      </c>
      <c r="B7" t="str">
        <v>拇长伸肌</v>
      </c>
      <c r="C7" t="str">
        <v>Back</v>
      </c>
      <c r="D7" t="inlineStr">
        <is>
          <t>A_7(β)=16.000+7.010*cos(β)+11.326*sin(β)</t>
        </is>
      </c>
      <c r="E7" t="inlineStr">
        <is>
          <t>X_7=7.997+A_7*cos(α) + 11.569 sinα</t>
        </is>
      </c>
      <c r="F7" t="inlineStr">
        <is>
          <t>Y_7=A_7*sin(α) - 11.569 cosα</t>
        </is>
      </c>
      <c r="G7" t="inlineStr">
        <is>
          <t>Z_7=-7.010*sin(β) + 11.326 cosβ</t>
        </is>
      </c>
      <c r="H7" t="inlineStr">
        <is>
          <t>L_7(α,β)=sqrt(X_7^2+(Y_7 + 14.048)^2+(Z_7 - 6.551)^2)</t>
        </is>
      </c>
    </row>
    <row r="8">
      <c r="A8" t="n">
        <v>8</v>
      </c>
      <c r="B8" t="str">
        <v>拇收肌</v>
      </c>
      <c r="C8" t="str">
        <v>Back</v>
      </c>
      <c r="D8" t="inlineStr">
        <is>
          <t>A_8(β)=16.000+7.010*cos(β)+11.326*sin(β)</t>
        </is>
      </c>
      <c r="E8" t="inlineStr">
        <is>
          <t>X_8=7.997+A_8*cos(α) + 7.664 sinα</t>
        </is>
      </c>
      <c r="F8" t="inlineStr">
        <is>
          <t>Y_8=A_8*sin(α) - 7.664 cosα</t>
        </is>
      </c>
      <c r="G8" t="inlineStr">
        <is>
          <t>Z_8=-7.010*sin(β) + 11.326 cosβ</t>
        </is>
      </c>
      <c r="H8" t="inlineStr">
        <is>
          <t>L_8(α,β)=sqrt(X_8^2+(Y_8 + 13.295)^2+(Z_8 - 2.344)^2)</t>
        </is>
      </c>
    </row>
    <row r="9">
      <c r="A9" t="n">
        <v>24</v>
      </c>
      <c r="B9" t="str">
        <v>中指外展</v>
      </c>
      <c r="C9" t="str">
        <v>Back</v>
      </c>
      <c r="D9" t="inlineStr">
        <is>
          <t>A_24(β)=16.000+7.010*cos(β)+11.326*sin(β)</t>
        </is>
      </c>
      <c r="E9" t="inlineStr">
        <is>
          <t>X_24=7.997+A_24*cos(α) + 2.165 sinα</t>
        </is>
      </c>
      <c r="F9" t="inlineStr">
        <is>
          <t>Y_24=A_24*sin(α) - 2.165 cosα</t>
        </is>
      </c>
      <c r="G9" t="inlineStr">
        <is>
          <t>Z_24=-7.010*sin(β) + 11.326 cosβ</t>
        </is>
      </c>
      <c r="H9" t="inlineStr">
        <is>
          <t>L_24(α,β)=sqrt(X_24^2+(Y_24 + 12.686)^2+(Z_24 - 4.617)^2)</t>
        </is>
      </c>
    </row>
    <row r="10">
      <c r="A10" t="n">
        <v>9</v>
      </c>
      <c r="B10" t="str">
        <v>中指内收</v>
      </c>
      <c r="C10" t="str">
        <v>Back</v>
      </c>
      <c r="D10" t="str">
        <v>A_9(β)=16.000+7.010*cos(β)+11.326*sin(β)</v>
      </c>
      <c r="E10" t="str">
        <v>X_9=7.997+A_9*cos(α) - 1.835 sinα</v>
      </c>
      <c r="F10" t="str">
        <v>Y_9=A_9*sin(α) + 1.835 cosα</v>
      </c>
      <c r="G10" t="str">
        <v>Z_9=-7.010*sin(β) + 11.326 cosβ</v>
      </c>
      <c r="H10" t="str">
        <v>L_9(α,β)=sqrt(X_9^2+(Y_9 + 11.691)^2+(Z_9 - 6.750)^2)</v>
      </c>
    </row>
    <row r="11">
      <c r="A11" t="n">
        <v>11</v>
      </c>
      <c r="B11" t="str">
        <v>小指伸肌</v>
      </c>
      <c r="C11" t="str">
        <v>Back</v>
      </c>
      <c r="D11" t="inlineStr">
        <is>
          <t>A_11(β)=16.000+7.010*cos(β)+13.735*sin(β)</t>
        </is>
      </c>
      <c r="E11" t="inlineStr">
        <is>
          <t>X_11=7.997+A_11*cos(α) - 14.546 sinα</t>
        </is>
      </c>
      <c r="F11" t="inlineStr">
        <is>
          <t>Y_11=A_11*sin(α) + 14.546 cosα</t>
        </is>
      </c>
      <c r="G11" t="inlineStr">
        <is>
          <t>Z_11=-7.010*sin(β) + 13.735 cosβ</t>
        </is>
      </c>
      <c r="H11" t="inlineStr">
        <is>
          <t>L_11(α,β)=sqrt(X_11^2+(Y_11 - 14.048)^2+(Z_11 - 6.551)^2)</t>
        </is>
      </c>
    </row>
    <row r="12">
      <c r="A12" t="n">
        <v>12</v>
      </c>
      <c r="B12" t="str">
        <v>左后手腕</v>
      </c>
      <c r="C12" t="str">
        <v>Back</v>
      </c>
      <c r="D12" t="inlineStr">
        <is>
          <t>A_12(β)=16.000+7.010*cos(β)+7.250*sin(β)</t>
        </is>
      </c>
      <c r="E12" t="inlineStr">
        <is>
          <t>X_12=7.997+A_12*cos(α) + 19.250 sinα</t>
        </is>
      </c>
      <c r="F12" t="inlineStr">
        <is>
          <t>Y_12=A_12*sin(α) - 19.250 cosα</t>
        </is>
      </c>
      <c r="G12" t="inlineStr">
        <is>
          <t>Z_12=-7.010*sin(β) + 7.250 cosβ</t>
        </is>
      </c>
      <c r="H12" t="inlineStr">
        <is>
          <t>L_12(α,β)=sqrt(X_12^2+(Y_12 + 15.441)^2+(Z_12 - 1.351)^2)</t>
        </is>
      </c>
    </row>
    <row r="13">
      <c r="A13" t="n">
        <v>20</v>
      </c>
      <c r="B13" t="str">
        <v>小指外展</v>
      </c>
      <c r="C13" t="str">
        <v>Back</v>
      </c>
      <c r="D13" t="inlineStr">
        <is>
          <t>A_20(β)=16.000+7.010*cos(β)+11.326*sin(β)</t>
        </is>
      </c>
      <c r="E13" t="inlineStr">
        <is>
          <t>X_20=7.997+A_20*cos(α) - 19.000 sinα</t>
        </is>
      </c>
      <c r="F13" t="inlineStr">
        <is>
          <t>Y_20=A_20*sin(α) + 19.000 cosα</t>
        </is>
      </c>
      <c r="G13" t="inlineStr">
        <is>
          <t>Z_20=-7.010*sin(β) + 11.326 cosβ</t>
        </is>
      </c>
      <c r="H13" t="inlineStr">
        <is>
          <t>L_20(α,β)=sqrt(X_20^2+(Y_20 - 14.972)^2+(Z_20 - 4.012)^2)</t>
        </is>
      </c>
    </row>
    <row r="14">
      <c r="A14" t="n">
        <v>18</v>
      </c>
      <c r="B14" t="str">
        <v>小指内收</v>
      </c>
      <c r="C14" t="str">
        <v>Front</v>
      </c>
      <c r="D14" t="inlineStr">
        <is>
          <t>A_18(β)=16.000+7.010*cos(β)-12.750*sin(β)</t>
        </is>
      </c>
      <c r="E14" t="inlineStr">
        <is>
          <t>X_18=7.997+A_18*cos(α) - 6.000 sinα</t>
        </is>
      </c>
      <c r="F14" t="inlineStr">
        <is>
          <t>Y_18=A_18*sin(α) + 6.000 cosα</t>
        </is>
      </c>
      <c r="G14" t="inlineStr">
        <is>
          <t>Z_18=-7.010*sin(β) - 12.750 cosβ</t>
        </is>
      </c>
      <c r="H14" t="inlineStr">
        <is>
          <t>L_18(α,β)=sqrt(X_18^2+(Y_18 - 14.972)^2+(Z_18 + 4.012)^2)</t>
        </is>
      </c>
    </row>
    <row r="15">
      <c r="A15" t="n">
        <v>14</v>
      </c>
      <c r="B15" t="str">
        <v>拇对掌肌</v>
      </c>
      <c r="C15" t="str">
        <v>Front</v>
      </c>
      <c r="D15" t="str">
        <v>A_14(β)=16.000+7.010*cos(β)-12.750*sin(β)</v>
      </c>
      <c r="E15" t="str">
        <v>X_14=7.997+A_14*cos(α) - 3.000 sinα</v>
      </c>
      <c r="F15" t="str">
        <v>Y_14=A_14*sin(α) + 3.000 cosα</v>
      </c>
      <c r="G15" t="str">
        <v>Z_14=-7.010*sin(β) - 12.750 cosβ</v>
      </c>
      <c r="H15" t="str">
        <v>L_14(α,β)=sqrt(X_14^2+(Y_14 - 13.295)^2+(Z_14 + 2.344)^2)</v>
      </c>
    </row>
    <row r="16">
      <c r="A16" t="n">
        <v>3</v>
      </c>
      <c r="B16" t="str">
        <v>食指指浅屈肌</v>
      </c>
      <c r="C16" t="str">
        <v>Front</v>
      </c>
      <c r="D16" t="inlineStr">
        <is>
          <t>A_3(β)=16.000+7.010*cos(β)-15.250*sin(β)</t>
        </is>
      </c>
      <c r="E16" t="inlineStr">
        <is>
          <t>X_3=7.997+A_3*cos(α) + 1.500 sinα</t>
        </is>
      </c>
      <c r="F16" t="inlineStr">
        <is>
          <t>Y_3=A_3*sin(α) - 1.500 cosα</t>
        </is>
      </c>
      <c r="G16" t="inlineStr">
        <is>
          <t>Z_3=-7.010*sin(β) - 15.250 cosβ</t>
        </is>
      </c>
      <c r="H16" t="inlineStr">
        <is>
          <t>L_3(α,β)=sqrt(X_3^2+(Y_3 + 11.691)^2+(Z_3 + 6.750)^2)</t>
        </is>
      </c>
    </row>
    <row r="17">
      <c r="A17" t="n">
        <v>16</v>
      </c>
      <c r="B17" t="str">
        <v>中指指浅屈肌</v>
      </c>
      <c r="C17" t="str">
        <v>Front</v>
      </c>
      <c r="D17" t="str">
        <v>A_16(β)=16.000+7.010*cos(β)-15.250*sin(β)</v>
      </c>
      <c r="E17" t="str">
        <v>X_16=7.997+A_16*cos(α) - 1.500 sinα</v>
      </c>
      <c r="F17" t="str">
        <v>Y_16=A_16*sin(α) + 1.500 cosα</v>
      </c>
      <c r="G17" t="str">
        <v>Z_16=-7.010*sin(β) - 15.250 cosβ</v>
      </c>
      <c r="H17" t="str">
        <v>L_16(α,β)=sqrt(X_16^2+(Y_16 - 11.691)^2+(Z_16 + 6.750)^2)</v>
      </c>
    </row>
    <row r="18">
      <c r="A18" t="n">
        <v>17</v>
      </c>
      <c r="B18" t="str">
        <v>无名指屈肌</v>
      </c>
      <c r="C18" t="str">
        <v>Front</v>
      </c>
      <c r="D18" t="str">
        <v>A_17(β)=16.000+7.010*cos(β)-17.750*sin(β)</v>
      </c>
      <c r="E18" t="str">
        <v>X_17=7.997+A_17*cos(α) - 3.000 sinα</v>
      </c>
      <c r="F18" t="str">
        <v>Y_17=A_17*sin(α) + 3.000 cosα</v>
      </c>
      <c r="G18" t="str">
        <v>Z_17=-7.010*sin(β) - 17.750 cosβ</v>
      </c>
      <c r="H18" t="str">
        <v>L_17(α,β)=sqrt(X_17^2+(Y_17 - 12.697)^2+(Z_17 + 8.890)^2)</v>
      </c>
    </row>
    <row r="19">
      <c r="A19" t="n">
        <v>13</v>
      </c>
      <c r="B19" t="str">
        <v>小指屈肌</v>
      </c>
      <c r="C19" t="str">
        <v>Front</v>
      </c>
      <c r="D19" t="inlineStr">
        <is>
          <t>A_13(β)=16.000+7.010*cos(β)-15.250*sin(β)</t>
        </is>
      </c>
      <c r="E19" t="inlineStr">
        <is>
          <t>X_13=7.997+A_13*cos(α) - 4.500 sinα</t>
        </is>
      </c>
      <c r="F19" t="inlineStr">
        <is>
          <t>Y_13=A_13*sin(α) + 4.500 cosα</t>
        </is>
      </c>
      <c r="G19" t="inlineStr">
        <is>
          <t>Z_13=-7.010*sin(β) - 15.250 cosβ</t>
        </is>
      </c>
      <c r="H19" t="inlineStr">
        <is>
          <t>L_13(α,β)=sqrt(X_13^2+(Y_13 - 14.048)^2+(Z_13 + 6.551)^2)</t>
        </is>
      </c>
    </row>
    <row r="20">
      <c r="A20" t="n">
        <v>19</v>
      </c>
      <c r="B20" t="str">
        <v>左前手腕</v>
      </c>
      <c r="C20" t="str">
        <v>Front</v>
      </c>
      <c r="D20" t="str">
        <v>A_19(β)=16.000+7.010*cos(β)-9.250*sin(β)</v>
      </c>
      <c r="E20" t="str">
        <v>X_19=7.997+A_19*cos(α) + 19.250 sinα</v>
      </c>
      <c r="F20" t="str">
        <v>Y_19=A_19*sin(α) - 19.250 cosα</v>
      </c>
      <c r="G20" t="str">
        <v>Z_19=-7.010*sin(β) - 9.250 cosβ</v>
      </c>
      <c r="H20" t="str">
        <v>L_19(α,β)=sqrt(X_19^2+(Y_19 + 15.441)^2+(Z_19 + 1.351)^2)</v>
      </c>
    </row>
    <row r="21">
      <c r="A21" t="n">
        <v>21</v>
      </c>
      <c r="B21" t="str">
        <v>无名指外展</v>
      </c>
      <c r="C21" t="str">
        <v>Back</v>
      </c>
      <c r="D21" t="inlineStr">
        <is>
          <t>A_21(β)=16.000+7.010*cos(β)+11.326*sin(β)</t>
        </is>
      </c>
      <c r="E21" t="inlineStr">
        <is>
          <t>X_21=7.997+A_21*cos(α) - 9.684 sinα</t>
        </is>
      </c>
      <c r="F21" t="inlineStr">
        <is>
          <t>Y_21=A_21*sin(α) + 9.684 cosα</t>
        </is>
      </c>
      <c r="G21" t="inlineStr">
        <is>
          <t>Z_21=-7.010*sin(β) + 11.326 cosβ</t>
        </is>
      </c>
      <c r="H21" t="inlineStr">
        <is>
          <t>L_21(α,β)=sqrt(X_21^2+(Y_21 - 13.295)^2+(Z_21 - 2.344)^2)</t>
        </is>
      </c>
    </row>
    <row r="22">
      <c r="A22" t="n">
        <v>10</v>
      </c>
      <c r="B22" t="str">
        <v>无名指伸肌</v>
      </c>
      <c r="C22" t="str">
        <v>Back</v>
      </c>
      <c r="D22" t="inlineStr">
        <is>
          <t>A_10(β)=16.000+7.010*cos(β)+13.735*sin(β)</t>
        </is>
      </c>
      <c r="E22" t="inlineStr">
        <is>
          <t>X_10=7.997+A_10*cos(α) - 7.360 sinα</t>
        </is>
      </c>
      <c r="F22" t="inlineStr">
        <is>
          <t>Y_10=A_10*sin(α) + 7.360 cosα</t>
        </is>
      </c>
      <c r="G22" t="inlineStr">
        <is>
          <t>Z_10=-7.010*sin(β) + 13.735 cosβ</t>
        </is>
      </c>
      <c r="H22" t="inlineStr">
        <is>
          <t>L_10(α,β)=sqrt(X_10^2+(Y_10 - 12.697)^2+(Z_10 - 8.890)^2)</t>
        </is>
      </c>
    </row>
    <row r="23">
      <c r="A23" t="n">
        <v>22</v>
      </c>
      <c r="B23" t="str">
        <v>无名指内收</v>
      </c>
      <c r="C23" t="str">
        <v>Back</v>
      </c>
      <c r="D23" t="str">
        <v>A_22(β)=16.000+7.010*cos(β)+11.326*sin(β)</v>
      </c>
      <c r="E23" t="str">
        <v>X_22=7.997+A_22*cos(α) - 5.610 sinα</v>
      </c>
      <c r="F23" t="str">
        <v>Y_22=A_22*sin(α) + 5.610 cosα</v>
      </c>
      <c r="G23" t="str">
        <v>Z_22=-7.010*sin(β) + 11.326 cosβ</v>
      </c>
      <c r="H23" t="str">
        <v>L_22(α,β)=sqrt(X_22^2+(Y_22 - 12.686)^2+(Z_22 - 4.617)^2)</v>
      </c>
    </row>
    <row r="24">
      <c r="A24" t="n">
        <v>23</v>
      </c>
      <c r="B24" t="str">
        <v>中指伸肌</v>
      </c>
      <c r="C24" t="str">
        <v>Back</v>
      </c>
      <c r="D24" t="str">
        <v>A_23(β)=16.000+7.010*cos(β)+14.779*sin(β)</v>
      </c>
      <c r="E24" t="str">
        <v>X_23=7.997+A_23*cos(α) - 0.335 sinα</v>
      </c>
      <c r="F24" t="str">
        <v>Y_23=A_23*sin(α) + 0.335 cosα</v>
      </c>
      <c r="G24" t="str">
        <v>Z_23=-7.010*sin(β) + 14.779 cosβ</v>
      </c>
      <c r="H24" t="str">
        <v>L_23(α,β)=sqrt(X_23^2+(Y_23 - 11.691)^2+(Z_23 - 6.750)^2)</v>
      </c>
    </row>
    <row r="25">
      <c r="A25" t="n">
        <v>25</v>
      </c>
      <c r="B25" t="str">
        <v>食指伸肌</v>
      </c>
      <c r="C25" t="str">
        <v>Back</v>
      </c>
      <c r="D25" t="inlineStr">
        <is>
          <t>A_25(β)=16.000+7.010*cos(β)+15.000*sin(β)</t>
        </is>
      </c>
      <c r="E25" t="inlineStr">
        <is>
          <t>X_25=7.997+A_25*cos(α) + 10.000 sinα</t>
        </is>
      </c>
      <c r="F25" t="inlineStr">
        <is>
          <t>Y_25=A_25*sin(α) - 10.000 cosα</t>
        </is>
      </c>
      <c r="G25" t="inlineStr">
        <is>
          <t>Z_25=-7.010*sin(β) + 15.000 cosβ</t>
        </is>
      </c>
      <c r="H25" t="inlineStr">
        <is>
          <t>L_25(α,β)=sqrt(X_25^2+(Y_25 + 12.697)^2+(Z_25 - 8.890)^2)</t>
        </is>
      </c>
    </row>
    <row r="26">
      <c r="A26" t="n">
        <v>26</v>
      </c>
      <c r="B26" t="str">
        <v>右后手腕</v>
      </c>
      <c r="C26" t="str">
        <v>Back</v>
      </c>
      <c r="D26" t="inlineStr">
        <is>
          <t>A_26(β)=16.000+7.010*cos(β)+7.250*sin(β)</t>
        </is>
      </c>
      <c r="E26" t="inlineStr">
        <is>
          <t>X_26=7.997+A_26*cos(α) - 19.250 sinα</t>
        </is>
      </c>
      <c r="F26" t="inlineStr">
        <is>
          <t>Y_26=A_26*sin(α) + 19.250 cosα</t>
        </is>
      </c>
      <c r="G26" t="inlineStr">
        <is>
          <t>Z_26=-7.010*sin(β) + 7.250 cosβ</t>
        </is>
      </c>
      <c r="H26" t="inlineStr">
        <is>
          <t>L_26(α,β)=sqrt(X_26^2+(Y_26 - 15.441)^2+(Z_26 - 1.351)^2)</t>
        </is>
      </c>
    </row>
    <row r="27">
      <c r="A27" t="n">
        <v>6</v>
      </c>
      <c r="B27" t="str">
        <v>拇短伸肌</v>
      </c>
      <c r="C27" t="str">
        <v>Back</v>
      </c>
      <c r="D27" t="inlineStr">
        <is>
          <t>A_6(β)=16.000+7.010*cos(β)+11.326*sin(β)</t>
        </is>
      </c>
      <c r="E27" t="inlineStr">
        <is>
          <t>X_6=7.997+A_6*cos(α) + 15.380 sinα</t>
        </is>
      </c>
      <c r="F27" t="inlineStr">
        <is>
          <t>Y_6=A_6*sin(α) - 15.380 cosα</t>
        </is>
      </c>
      <c r="G27" t="inlineStr">
        <is>
          <t>Z_6=-7.010*sin(β) + 11.326 cosβ</t>
        </is>
      </c>
      <c r="H27" t="inlineStr">
        <is>
          <t>L_6(α,β)=sqrt(X_6^2+(Y_6 + 14.972)^2+(Z_6 - 4.012)^2)</t>
        </is>
      </c>
    </row>
    <row r="28">
      <c r="A28" t="n">
        <v>28</v>
      </c>
      <c r="B28" t="str">
        <v>食指外展</v>
      </c>
      <c r="C28" t="str">
        <v>Front</v>
      </c>
      <c r="D28" t="inlineStr">
        <is>
          <t>A_28(β)=16.000+7.010*cos(β)-12.750*sin(β)</t>
        </is>
      </c>
      <c r="E28" t="inlineStr">
        <is>
          <t>X_28=7.997+A_28*cos(α) + 3.000 sinα</t>
        </is>
      </c>
      <c r="F28" t="inlineStr">
        <is>
          <t>Y_28=A_28*sin(α) - 3.000 cosα</t>
        </is>
      </c>
      <c r="G28" t="inlineStr">
        <is>
          <t>Z_28=-7.010*sin(β) - 12.750 cosβ</t>
        </is>
      </c>
      <c r="H28" t="inlineStr">
        <is>
          <t>L_28(α,β)=sqrt(X_28^2+(Y_28 + 13.295)^2+(Z_28 + 2.344)^2)</t>
        </is>
      </c>
    </row>
    <row r="29">
      <c r="A29" t="n">
        <v>4</v>
      </c>
      <c r="B29" t="str">
        <v>拇长屈肌</v>
      </c>
      <c r="C29" t="str">
        <v>Front</v>
      </c>
      <c r="D29" t="inlineStr">
        <is>
          <t>A_4(β)=16.000+7.010*cos(β)-15.250*sin(β)</t>
        </is>
      </c>
      <c r="E29" t="inlineStr">
        <is>
          <t>X_4=7.997+A_4*cos(α) + 4.500 sinα</t>
        </is>
      </c>
      <c r="F29" t="inlineStr">
        <is>
          <t>Y_4=A_4*sin(α) - 4.500 cosα</t>
        </is>
      </c>
      <c r="G29" t="inlineStr">
        <is>
          <t>Z_4=-7.010*sin(β) - 15.250 cosβ</t>
        </is>
      </c>
      <c r="H29" t="inlineStr">
        <is>
          <t>L_4(α,β)=sqrt(X_4^2+(Y_4 + 14.048)^2+(Z_4 + 6.551)^2)</t>
        </is>
      </c>
    </row>
  </sheetData>
  <pageMargins left="0.7" right="0.7" top="0.75" bottom="0.75" header="0.3" footer="0.3"/>
</worksheet>
</file>