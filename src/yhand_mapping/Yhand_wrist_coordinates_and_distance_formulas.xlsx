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ordinates" sheetId="1" state="visible" r:id="rId2"/>
    <sheet name="Formula_Calculator" sheetId="2" state="visible" r:id="rId3"/>
    <sheet name="Rotation_Centers" sheetId="3" state="visible" r:id="rId4"/>
    <sheet name="Formula_Text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<sst xmlns="http://schemas.openxmlformats.org/spreadsheetml/2006/main" count="201" uniqueCount="115">
  <si>
    <t xml:space="preserve">Motor</t>
  </si>
  <si>
    <t xml:space="preserve">Name</t>
  </si>
  <si>
    <t xml:space="preserve">Band_X</t>
  </si>
  <si>
    <t xml:space="preserve">Band_Y</t>
  </si>
  <si>
    <t xml:space="preserve">Band_Z</t>
  </si>
  <si>
    <t xml:space="preserve">Base_X</t>
  </si>
  <si>
    <t xml:space="preserve">Base_Y</t>
  </si>
  <si>
    <t xml:space="preserve">Base_Z</t>
  </si>
  <si>
    <t xml:space="preserve">Initial_Length_L0</t>
  </si>
  <si>
    <t xml:space="preserve">左前手腕</t>
  </si>
  <si>
    <t xml:space="preserve">小指内收</t>
  </si>
  <si>
    <t xml:space="preserve">小指屈肌</t>
  </si>
  <si>
    <t xml:space="preserve">拇对掌肌</t>
  </si>
  <si>
    <t xml:space="preserve">中指指浅屈肌</t>
  </si>
  <si>
    <t xml:space="preserve">食指内收</t>
  </si>
  <si>
    <t xml:space="preserve">无名指屈肌</t>
  </si>
  <si>
    <t xml:space="preserve">食指指浅屈肌</t>
  </si>
  <si>
    <t xml:space="preserve">中指指深屈肌</t>
  </si>
  <si>
    <t xml:space="preserve">食指指深屈肌</t>
  </si>
  <si>
    <t xml:space="preserve">食指外展</t>
  </si>
  <si>
    <t xml:space="preserve">拇长屈肌</t>
  </si>
  <si>
    <t xml:space="preserve">右前手腕</t>
  </si>
  <si>
    <t xml:space="preserve">拇展肌</t>
  </si>
  <si>
    <t xml:space="preserve">左后手腕</t>
  </si>
  <si>
    <t xml:space="preserve">小指外展</t>
  </si>
  <si>
    <t xml:space="preserve">小指伸肌</t>
  </si>
  <si>
    <t xml:space="preserve">无名指外展</t>
  </si>
  <si>
    <t xml:space="preserve">无名指伸肌</t>
  </si>
  <si>
    <t xml:space="preserve">无名指内收</t>
  </si>
  <si>
    <t xml:space="preserve">中指内收</t>
  </si>
  <si>
    <t xml:space="preserve">中指伸肌</t>
  </si>
  <si>
    <t xml:space="preserve">中指外展</t>
  </si>
  <si>
    <t xml:space="preserve">食指伸肌</t>
  </si>
  <si>
    <t xml:space="preserve">拇收肌</t>
  </si>
  <si>
    <t xml:space="preserve">右后手腕</t>
  </si>
  <si>
    <t xml:space="preserve">拇长伸肌</t>
  </si>
  <si>
    <t xml:space="preserve">拇短伸肌</t>
  </si>
  <si>
    <t xml:space="preserve">Y-hand wrist hole distance calculator</t>
  </si>
  <si>
    <t xml:space="preserve">Input</t>
  </si>
  <si>
    <t xml:space="preserve">Value</t>
  </si>
  <si>
    <t xml:space="preserve">Unit/Description</t>
  </si>
  <si>
    <t xml:space="preserve">alpha_side</t>
  </si>
  <si>
    <r>
      <rPr>
        <sz val="10"/>
        <rFont val="Noto Sans CJK SC"/>
        <family val="2"/>
      </rPr>
      <t xml:space="preserve">侧摆角 </t>
    </r>
    <r>
      <rPr>
        <sz val="10"/>
        <rFont val="Arial"/>
        <family val="2"/>
      </rPr>
      <t xml:space="preserve">α</t>
    </r>
    <r>
      <rPr>
        <sz val="10"/>
        <rFont val="Noto Sans CJK SC"/>
        <family val="2"/>
      </rPr>
      <t xml:space="preserve">，绕 </t>
    </r>
    <r>
      <rPr>
        <sz val="10"/>
        <rFont val="Arial"/>
        <family val="2"/>
      </rPr>
      <t xml:space="preserve">Z </t>
    </r>
    <r>
      <rPr>
        <sz val="10"/>
        <rFont val="Noto Sans CJK SC"/>
        <family val="2"/>
      </rPr>
      <t xml:space="preserve">轴，单位 </t>
    </r>
    <r>
      <rPr>
        <sz val="10"/>
        <rFont val="Arial"/>
        <family val="2"/>
      </rPr>
      <t xml:space="preserve">rad</t>
    </r>
  </si>
  <si>
    <t xml:space="preserve">beta_flex</t>
  </si>
  <si>
    <r>
      <rPr>
        <sz val="10"/>
        <rFont val="Noto Sans CJK SC"/>
        <family val="2"/>
      </rPr>
      <t xml:space="preserve">弯曲角 </t>
    </r>
    <r>
      <rPr>
        <sz val="10"/>
        <rFont val="Arial"/>
        <family val="2"/>
      </rPr>
      <t xml:space="preserve">β</t>
    </r>
    <r>
      <rPr>
        <sz val="10"/>
        <rFont val="Noto Sans CJK SC"/>
        <family val="2"/>
      </rPr>
      <t xml:space="preserve">，绕 </t>
    </r>
    <r>
      <rPr>
        <sz val="10"/>
        <rFont val="Arial"/>
        <family val="2"/>
      </rPr>
      <t xml:space="preserve">Y </t>
    </r>
    <r>
      <rPr>
        <sz val="10"/>
        <rFont val="Noto Sans CJK SC"/>
        <family val="2"/>
      </rPr>
      <t xml:space="preserve">轴，单位 </t>
    </r>
    <r>
      <rPr>
        <sz val="10"/>
        <rFont val="Arial"/>
        <family val="2"/>
      </rPr>
      <t xml:space="preserve">rad</t>
    </r>
  </si>
  <si>
    <t xml:space="preserve">Source</t>
  </si>
  <si>
    <t xml:space="preserve">Band_y</t>
  </si>
  <si>
    <t xml:space="preserve">Band_z</t>
  </si>
  <si>
    <t xml:space="preserve">Base_y</t>
  </si>
  <si>
    <t xml:space="preserve">Base_z</t>
  </si>
  <si>
    <t xml:space="preserve">A_i(beta)</t>
  </si>
  <si>
    <t xml:space="preserve">Moved_X</t>
  </si>
  <si>
    <t xml:space="preserve">Moved_Y</t>
  </si>
  <si>
    <t xml:space="preserve">Moved_Z</t>
  </si>
  <si>
    <t xml:space="preserve">Length_L(alpha,beta)</t>
  </si>
  <si>
    <t xml:space="preserve">Delta_L</t>
  </si>
  <si>
    <t xml:space="preserve">Front V1</t>
  </si>
  <si>
    <t xml:space="preserve">Back V3</t>
  </si>
  <si>
    <t xml:space="preserve">Item</t>
  </si>
  <si>
    <t xml:space="preserve">X</t>
  </si>
  <si>
    <t xml:space="preserve">Y</t>
  </si>
  <si>
    <t xml:space="preserve">Z</t>
  </si>
  <si>
    <t xml:space="preserve">Axis_X</t>
  </si>
  <si>
    <t xml:space="preserve">Axis_Y</t>
  </si>
  <si>
    <t xml:space="preserve">Axis_Z</t>
  </si>
  <si>
    <t xml:space="preserve">Description</t>
  </si>
  <si>
    <t xml:space="preserve">Origin_O</t>
  </si>
  <si>
    <t xml:space="preserve">底板几何中心，坐标原点</t>
  </si>
  <si>
    <t xml:space="preserve">C_flex</t>
  </si>
  <si>
    <r>
      <rPr>
        <sz val="10"/>
        <rFont val="Noto Sans CJK SC"/>
        <family val="2"/>
      </rPr>
      <t xml:space="preserve">弯曲旋转中心：腕带下表面沿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负方向下降 </t>
    </r>
    <r>
      <rPr>
        <sz val="10"/>
        <rFont val="Arial"/>
        <family val="2"/>
      </rPr>
      <t xml:space="preserve">3.010 mm</t>
    </r>
    <r>
      <rPr>
        <sz val="10"/>
        <rFont val="Noto Sans CJK SC"/>
        <family val="2"/>
      </rPr>
      <t xml:space="preserve">；绕 </t>
    </r>
    <r>
      <rPr>
        <sz val="10"/>
        <rFont val="Arial"/>
        <family val="2"/>
      </rPr>
      <t xml:space="preserve">Y </t>
    </r>
    <r>
      <rPr>
        <sz val="10"/>
        <rFont val="Noto Sans CJK SC"/>
        <family val="2"/>
      </rPr>
      <t xml:space="preserve">轴</t>
    </r>
  </si>
  <si>
    <t xml:space="preserve">C_side</t>
  </si>
  <si>
    <r>
      <rPr>
        <sz val="10"/>
        <rFont val="Noto Sans CJK SC"/>
        <family val="2"/>
      </rPr>
      <t xml:space="preserve">侧摆旋转中心：腕带下表面沿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负方向下降 </t>
    </r>
    <r>
      <rPr>
        <sz val="10"/>
        <rFont val="Arial"/>
        <family val="2"/>
      </rPr>
      <t xml:space="preserve">19.010 mm</t>
    </r>
    <r>
      <rPr>
        <sz val="10"/>
        <rFont val="Noto Sans CJK SC"/>
        <family val="2"/>
      </rPr>
      <t xml:space="preserve">；绕 </t>
    </r>
    <r>
      <rPr>
        <sz val="10"/>
        <rFont val="Arial"/>
        <family val="2"/>
      </rPr>
      <t xml:space="preserve">Z </t>
    </r>
    <r>
      <rPr>
        <sz val="10"/>
        <rFont val="Noto Sans CJK SC"/>
        <family val="2"/>
      </rPr>
      <t xml:space="preserve">轴</t>
    </r>
  </si>
  <si>
    <t xml:space="preserve">Band_mid_plane</t>
  </si>
  <si>
    <r>
      <rPr>
        <sz val="10"/>
        <rFont val="Noto Sans CJK SC"/>
        <family val="2"/>
      </rPr>
      <t xml:space="preserve">腕带孔中心所在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高度</t>
    </r>
  </si>
  <si>
    <t xml:space="preserve">Band_bottom</t>
  </si>
  <si>
    <r>
      <rPr>
        <sz val="10"/>
        <rFont val="Noto Sans CJK SC"/>
        <family val="2"/>
      </rPr>
      <t xml:space="preserve">腕带下表面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高度</t>
    </r>
  </si>
  <si>
    <t xml:space="preserve">Base_mid_plane</t>
  </si>
  <si>
    <r>
      <rPr>
        <sz val="10"/>
        <rFont val="Noto Sans CJK SC"/>
        <family val="2"/>
      </rPr>
      <t xml:space="preserve">底板孔中心所在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 xml:space="preserve">高度</t>
    </r>
  </si>
  <si>
    <t xml:space="preserve">General formula</t>
  </si>
  <si>
    <t xml:space="preserve">Let α = side-swing angle about Z axis, β = flexion angle about Y axis, both in radians.</t>
  </si>
  <si>
    <t xml:space="preserve">For wristband point P_i=(31.007, y_i, z_i), base point B_i=(0, yb_i, zb_i):</t>
  </si>
  <si>
    <t xml:space="preserve">A_i(β)=16.000+7.010*cos(β)+z_i*sin(β)</t>
  </si>
  <si>
    <t xml:space="preserve">X_i(α,β)=7.997+A_i(β)*cos(α)-y_i*sin(α)</t>
  </si>
  <si>
    <t xml:space="preserve">Y_i(α,β)=A_i(β)*sin(α)+y_i*cos(α)</t>
  </si>
  <si>
    <t xml:space="preserve">Z_i(β)=-7.010*sin(β)+z_i*cos(β)</t>
  </si>
  <si>
    <t xml:space="preserve">L_i(α,β)=sqrt(X_i^2+(Y_i-yb_i)^2+(Z_i-zb_i)^2)</t>
  </si>
  <si>
    <t xml:space="preserve">Formula</t>
  </si>
  <si>
    <t xml:space="preserve">A_5(β)=16.000+7.010*cosβ-9.250*sinβ; X_5=7.997+A_5(β)*cosα+19.250*sinα; Y_5=A_5(β)*sinα-19.250*cosα; Z_5=-7.010*sinβ-9.250*cosβ; L_5(α,β)=sqrt(X_5^2+(Y_5+15.441)^2+(Z_5+1.351)^2)</t>
  </si>
  <si>
    <t xml:space="preserve">A_27(β)=16.000+7.010*cosβ-17.000*sinβ; X_27=7.997+A_27(β)*cosα+10.000*sinα; Y_27=A_27(β)*sinα-10.000*cosα; Z_27=-7.010*sinβ-17.000*cosβ; L_27(α,β)=sqrt(X_27^2+(Y_27+14.972)^2+(Z_27+4.012)^2)</t>
  </si>
  <si>
    <t xml:space="preserve">A_4(β)=16.000+7.010*cosβ-15.250*sinβ; X_4=7.997+A_4(β)*cosα+4.500*sinα; Y_4=A_4(β)*sinα-4.500*cosα; Z_4=-7.010*sinβ-15.250*cosβ; L_4(α,β)=sqrt(X_4^2+(Y_4+14.048)^2+(Z_4+6.551)^2)</t>
  </si>
  <si>
    <t xml:space="preserve">A_28(β)=16.000+7.010*cosβ-12.750*sinβ; X_28=7.997+A_28(β)*cosα+3.000*sinα; Y_28=A_28(β)*sinα-3.000*cosα; Z_28=-7.010*sinβ-12.750*cosβ; L_28(α,β)=sqrt(X_28^2+(Y_28+13.295)^2+(Z_28+2.344)^2)</t>
  </si>
  <si>
    <t xml:space="preserve">A_2(β)=16.000+7.010*cosβ-15.250*sinβ; X_2=7.997+A_2(β)*cosα+1.500*sinα; Y_2=A_2(β)*sinα-1.500*cosα; Z_2=-7.010*sinβ-15.250*cosβ; L_2(α,β)=sqrt(X_2^2+(Y_2+12.697)^2+(Z_2+8.890)^2)</t>
  </si>
  <si>
    <t xml:space="preserve">A_15(β)=16.000+7.010*cosβ-12.750*sinβ; X_15=7.997+A_15(β)*cosα-0.000*sinα; Y_15=A_15(β)*sinα+0.000*cosα; Z_15=-7.010*sinβ-12.750*cosβ; L_15(α,β)=sqrt(X_15^2+(Y_15+12.686)^2+(Z_15+4.617)^2)</t>
  </si>
  <si>
    <t xml:space="preserve">A_3(β)=16.000+7.010*cosβ-17.750*sinβ; X_3=7.997+A_3(β)*cosα+3.000*sinα; Y_3=A_3(β)*sinα-3.000*cosα; Z_3=-7.010*sinβ-17.750*cosβ; L_3(α,β)=sqrt(X_3^2+(Y_3+11.691)^2+(Z_3+6.750)^2)</t>
  </si>
  <si>
    <t xml:space="preserve">A_1(β)=16.000+7.010*cosβ-17.750*sinβ; X_1=7.997+A_1(β)*cosα-0.000*sinα; Y_1=A_1(β)*sinα+0.000*cosα; Z_1=-7.010*sinβ-17.750*cosβ; L_1(α,β)=sqrt(X_1^2+(Y_1-11.691)^2+(Z_1+6.750)^2)</t>
  </si>
  <si>
    <t xml:space="preserve">A_16(β)=16.000+7.010*cosβ-15.250*sinβ; X_16=7.997+A_16(β)*cosα-1.500*sinα; Y_16=A_16(β)*sinα+1.500*cosα; Z_16=-7.010*sinβ-15.250*cosβ; L_16(α,β)=sqrt(X_16^2+(Y_16-12.686)^2+(Z_16+4.617)^2)</t>
  </si>
  <si>
    <t xml:space="preserve">A_17(β)=16.000+7.010*cosβ-17.750*sinβ; X_17=7.997+A_17(β)*cosα-3.000*sinα; Y_17=A_17(β)*sinα+3.000*cosα; Z_17=-7.010*sinβ-17.750*cosβ; L_17(α,β)=sqrt(X_17^2+(Y_17-13.295)^2+(Z_17+2.344)^2)</t>
  </si>
  <si>
    <t xml:space="preserve">A_13(β)=16.000+7.010*cosβ-12.750*sinβ; X_13=7.997+A_13(β)*cosα-3.000*sinα; Y_13=A_13(β)*sinα+3.000*cosα; Z_13=-7.010*sinβ-12.750*cosβ; L_13(α,β)=sqrt(X_13^2+(Y_13-12.697)^2+(Z_13+8.890)^2)</t>
  </si>
  <si>
    <t xml:space="preserve">A_14(β)=16.000+7.010*cosβ-15.250*sinβ; X_14=7.997+A_14(β)*cosα-4.500*sinα; Y_14=A_14(β)*sinα+4.500*cosα; Z_14=-7.010*sinβ-15.250*cosβ; L_14(α,β)=sqrt(X_14^2+(Y_14-14.048)^2+(Z_14+6.551)^2)</t>
  </si>
  <si>
    <t xml:space="preserve">A_18(β)=16.000+7.010*cosβ-10.250*sinβ; X_18=7.997+A_18(β)*cosα-13.500*sinα; Y_18=A_18(β)*sinα+13.500*cosα; Z_18=-7.010*sinβ-10.250*cosβ; L_18(α,β)=sqrt(X_18^2+(Y_18-14.972)^2+(Z_18+4.012)^2)</t>
  </si>
  <si>
    <t xml:space="preserve">A_19(β)=16.000+7.010*cosβ-17.000*sinβ; X_19=7.997+A_19(β)*cosα-19.000*sinα; Y_19=A_19(β)*sinα+19.000*cosα; Z_19=-7.010*sinβ-17.000*cosβ; L_19(α,β)=sqrt(X_19^2+(Y_19-15.441)^2+(Z_19+1.351)^2)</t>
  </si>
  <si>
    <t xml:space="preserve">A_25(β)=16.000+7.010*cosβ+10.250*sinβ; X_25=7.997+A_25(β)*cosα+18.000*sinα; Y_25=A_25(β)*sinα-18.000*cosα; Z_25=-7.010*sinβ+10.250*cosβ; L_25(α,β)=sqrt(X_25^2+(Y_25+14.972)^2+(Z_25-4.012)^2)</t>
  </si>
  <si>
    <t xml:space="preserve">A_26(β)=16.000+7.010*cosβ+11.326*sinβ; X_26=7.997+A_26(β)*cosα+15.380*sinα; Y_26=A_26(β)*sinα-15.380*cosα; Z_26=-7.010*sinβ+11.326*cosβ; L_26(α,β)=sqrt(X_26^2+(Y_26+15.441)^2+(Z_26-1.351)^2)</t>
  </si>
  <si>
    <t xml:space="preserve">A_24(β)=16.000+7.010*cosβ+15.000*sinβ; X_24=7.997+A_24(β)*cosα+10.000*sinα; Y_24=A_24(β)*sinα-10.000*cosα; Z_24=-7.010*sinβ+15.000*cosβ; L_24(α,β)=sqrt(X_24^2+(Y_24+12.697)^2+(Z_24-8.890)^2)</t>
  </si>
  <si>
    <t xml:space="preserve">A_6(β)=16.000+7.010*cosβ+11.326*sinβ; X_6=7.997+A_6(β)*cosα+11.569*sinα; Y_6=A_6(β)*sinα-11.569*cosα; Z_6=-7.010*sinβ+11.326*cosβ; L_6(α,β)=sqrt(X_6^2+(Y_6+14.048)^2+(Z_6-6.551)^2)</t>
  </si>
  <si>
    <t xml:space="preserve">A_7(β)=16.000+7.010*cosβ+14.837*sinβ; X_7=7.997+A_7(β)*cosα+6.121*sinα; Y_7=A_7(β)*sinα-6.121*cosα; Z_7=-7.010*sinβ+14.837*cosβ; L_7(α,β)=sqrt(X_7^2+(Y_7+13.295)^2+(Z_7-2.344)^2)</t>
  </si>
  <si>
    <t xml:space="preserve">A_8(β)=16.000+7.010*cosβ+11.326*sinβ; X_8=7.997+A_8(β)*cosα+2.165*sinα; Y_8=A_8(β)*sinα-2.165*cosα; Z_8=-7.010*sinβ+11.326*cosβ; L_8(α,β)=sqrt(X_8^2+(Y_8+12.686)^2+(Z_8-4.617)^2)</t>
  </si>
  <si>
    <t xml:space="preserve">A_23(β)=16.000+7.010*cosβ+11.326*sinβ; X_23=7.997+A_23(β)*cosα-1.835*sinα; Y_23=A_23(β)*sinα+1.835*cosα; Z_23=-7.010*sinβ+11.326*cosβ; L_23(α,β)=sqrt(X_23^2+(Y_23+11.691)^2+(Z_23-6.750)^2)</t>
  </si>
  <si>
    <t xml:space="preserve">A_9(β)=16.000+7.010*cosβ+14.779*sinβ; X_9=7.997+A_9(β)*cosα-0.335*sinα; Y_9=A_9(β)*sinα+0.335*cosα; Z_9=-7.010*sinβ+14.779*cosβ; L_9(α,β)=sqrt(X_9^2+(Y_9-11.691)^2+(Z_9-6.750)^2)</t>
  </si>
  <si>
    <t xml:space="preserve">A_22(β)=16.000+7.010*cosβ+11.326*sinβ; X_22=7.997+A_22(β)*cosα-5.610*sinα; Y_22=A_22(β)*sinα+5.610*cosα; Z_22=-7.010*sinβ+11.326*cosβ; L_22(α,β)=sqrt(X_22^2+(Y_22-12.686)^2+(Z_22-4.617)^2)</t>
  </si>
  <si>
    <t xml:space="preserve">A_10(β)=16.000+7.010*cosβ+13.735*sinβ; X_10=7.997+A_10(β)*cosα-7.360*sinα; Y_10=A_10(β)*sinα+7.360*cosα; Z_10=-7.010*sinβ+13.735*cosβ; L_10(α,β)=sqrt(X_10^2+(Y_10-12.697)^2+(Z_10-8.890)^2)</t>
  </si>
  <si>
    <t xml:space="preserve">A_21(β)=16.000+7.010*cosβ+11.326*sinβ; X_21=7.997+A_21(β)*cosα-9.684*sinα; Y_21=A_21(β)*sinα+9.684*cosα; Z_21=-7.010*sinβ+11.326*cosβ; L_21(α,β)=sqrt(X_21^2+(Y_21-13.295)^2+(Z_21-2.344)^2)</t>
  </si>
  <si>
    <t xml:space="preserve">A_11(β)=16.000+7.010*cosβ+13.735*sinβ; X_11=7.997+A_11(β)*cosα-11.078*sinα; Y_11=A_11(β)*sinα+11.078*cosα; Z_11=-7.010*sinβ+13.735*cosβ; L_11(α,β)=sqrt(X_11^2+(Y_11-14.048)^2+(Z_11-6.551)^2)</t>
  </si>
  <si>
    <t xml:space="preserve">A_20(β)=16.000+7.010*cosβ+11.326*sinβ; X_20=7.997+A_20(β)*cosα-12.635*sinα; Y_20=A_20(β)*sinα+12.635*cosα; Z_20=-7.010*sinβ+11.326*cosβ; L_20(α,β)=sqrt(X_20^2+(Y_20-14.972)^2+(Z_20-4.012)^2)</t>
  </si>
  <si>
    <t xml:space="preserve">A_12(β)=16.000+7.010*cosβ+11.326*sinβ; X_12=7.997+A_12(β)*cosα-19.000*sinα; Y_12=A_12(β)*sinα+19.000*cosα; Z_12=-7.010*sinβ+11.326*cosβ; L_12(α,β)=sqrt(X_12^2+(Y_12-15.441)^2+(Z_12-1.351)^2)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</si>
</sst>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00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Noto Sans CJK SC"/>
      <family val="2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ordinateTable" displayName="CoordinateTable" ref="A1:I29" headerRowCount="1" totalsRowCount="0" totalsRowShown="0">
  <tableColumns count="9">
    <tableColumn id="1" name="Motor"/>
    <tableColumn id="2" name="Name"/>
    <tableColumn id="3" name="Band_X"/>
    <tableColumn id="4" name="Band_Y"/>
    <tableColumn id="5" name="Band_Z"/>
    <tableColumn id="6" name="Base_X"/>
    <tableColumn id="7" name="Base_Y"/>
    <tableColumn id="8" name="Base_Z"/>
    <tableColumn id="9" name="Initial_Length_L0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2.8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4.76"/>
    <col collapsed="false" customWidth="true" hidden="false" outlineLevel="0" max="4" min="3" style="0" width="11.19"/>
    <col collapsed="false" customWidth="true" hidden="false" outlineLevel="0" max="5" min="5" style="0" width="11.03"/>
    <col collapsed="false" customWidth="true" hidden="false" outlineLevel="0" max="6" min="6" style="0" width="10.85"/>
    <col collapsed="false" customWidth="true" hidden="false" outlineLevel="0" max="7" min="7" style="0" width="10.69"/>
    <col collapsed="false" customWidth="true" hidden="false" outlineLevel="0" max="8" min="8" style="0" width="10.51"/>
    <col collapsed="false" customWidth="true" hidden="false" outlineLevel="0" max="9" min="9" style="0" width="21.0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n">
        <v>19</v>
      </c>
      <c r="B2" s="2" t="s">
        <v>9</v>
      </c>
      <c r="C2" s="3" t="n">
        <v>31.007</v>
      </c>
      <c r="D2" s="3" t="n">
        <v>-19.25</v>
      </c>
      <c r="E2" s="3" t="n">
        <v>-9.25</v>
      </c>
      <c r="F2" s="3" t="n">
        <v>0</v>
      </c>
      <c r="G2" s="3" t="n">
        <v>-15.441</v>
      </c>
      <c r="H2" s="3" t="n">
        <v>-1.351</v>
      </c>
      <c r="I2" s="3" t="n">
        <v>32.2232327831954</v>
      </c>
    </row>
    <row r="3" customFormat="false" ht="13.8" hidden="false" customHeight="false" outlineLevel="0" collapsed="false">
      <c r="A3" s="0" t="n">
        <v>4</v>
      </c>
      <c r="B3" s="2" t="s">
        <v>10</v>
      </c>
      <c r="C3" s="3" t="n">
        <v>31.007</v>
      </c>
      <c r="D3" s="3" t="n">
        <v>-10</v>
      </c>
      <c r="E3" s="3" t="n">
        <v>-17</v>
      </c>
      <c r="F3" s="3" t="n">
        <v>0</v>
      </c>
      <c r="G3" s="3" t="n">
        <v>-14.972</v>
      </c>
      <c r="H3" s="3" t="n">
        <v>-4.012</v>
      </c>
      <c r="I3" s="3" t="n">
        <v>33.982980696225</v>
      </c>
    </row>
    <row r="4" customFormat="false" ht="13.8" hidden="false" customHeight="false" outlineLevel="0" collapsed="false">
      <c r="A4" s="0" t="n">
        <v>27</v>
      </c>
      <c r="B4" s="2" t="s">
        <v>11</v>
      </c>
      <c r="C4" s="3" t="n">
        <v>31.007</v>
      </c>
      <c r="D4" s="3" t="n">
        <v>-4.5</v>
      </c>
      <c r="E4" s="3" t="n">
        <v>-15.25</v>
      </c>
      <c r="F4" s="3" t="n">
        <v>0</v>
      </c>
      <c r="G4" s="3" t="n">
        <v>-14.048</v>
      </c>
      <c r="H4" s="3" t="n">
        <v>-6.551</v>
      </c>
      <c r="I4" s="3" t="n">
        <v>33.5897447742611</v>
      </c>
    </row>
    <row r="5" customFormat="false" ht="13.8" hidden="false" customHeight="false" outlineLevel="0" collapsed="false">
      <c r="A5" s="0" t="n">
        <v>28</v>
      </c>
      <c r="B5" s="2" t="s">
        <v>12</v>
      </c>
      <c r="C5" s="3" t="n">
        <v>31.007</v>
      </c>
      <c r="D5" s="3" t="n">
        <v>-3</v>
      </c>
      <c r="E5" s="3" t="n">
        <v>-12.75</v>
      </c>
      <c r="F5" s="3" t="n">
        <v>0</v>
      </c>
      <c r="G5" s="3" t="n">
        <v>-13.295</v>
      </c>
      <c r="H5" s="3" t="n">
        <v>-2.344</v>
      </c>
      <c r="I5" s="3" t="n">
        <v>34.2885682115775</v>
      </c>
    </row>
    <row r="6" customFormat="false" ht="13.8" hidden="false" customHeight="false" outlineLevel="0" collapsed="false">
      <c r="A6" s="0" t="n">
        <v>2</v>
      </c>
      <c r="B6" s="2" t="s">
        <v>13</v>
      </c>
      <c r="C6" s="3" t="n">
        <v>31.007</v>
      </c>
      <c r="D6" s="3" t="n">
        <v>-1.5</v>
      </c>
      <c r="E6" s="3" t="n">
        <v>-15.25</v>
      </c>
      <c r="F6" s="3" t="n">
        <v>0</v>
      </c>
      <c r="G6" s="3" t="n">
        <v>-12.697</v>
      </c>
      <c r="H6" s="3" t="n">
        <v>-8.89</v>
      </c>
      <c r="I6" s="3" t="n">
        <v>33.5746401023153</v>
      </c>
    </row>
    <row r="7" customFormat="false" ht="13.8" hidden="false" customHeight="false" outlineLevel="0" collapsed="false">
      <c r="A7" s="0" t="n">
        <v>15</v>
      </c>
      <c r="B7" s="2" t="s">
        <v>14</v>
      </c>
      <c r="C7" s="3" t="n">
        <v>31.007</v>
      </c>
      <c r="D7" s="3" t="n">
        <v>0</v>
      </c>
      <c r="E7" s="3" t="n">
        <v>-12.75</v>
      </c>
      <c r="F7" s="3" t="n">
        <v>0</v>
      </c>
      <c r="G7" s="3" t="n">
        <v>-12.686</v>
      </c>
      <c r="H7" s="3" t="n">
        <v>-4.617</v>
      </c>
      <c r="I7" s="3" t="n">
        <v>34.4748362432659</v>
      </c>
    </row>
    <row r="8" customFormat="false" ht="13.8" hidden="false" customHeight="false" outlineLevel="0" collapsed="false">
      <c r="A8" s="0" t="n">
        <v>3</v>
      </c>
      <c r="B8" s="2" t="s">
        <v>15</v>
      </c>
      <c r="C8" s="3" t="n">
        <v>31.007</v>
      </c>
      <c r="D8" s="3" t="n">
        <v>-3</v>
      </c>
      <c r="E8" s="3" t="n">
        <v>-17.75</v>
      </c>
      <c r="F8" s="3" t="n">
        <v>0</v>
      </c>
      <c r="G8" s="3" t="n">
        <v>-11.691</v>
      </c>
      <c r="H8" s="3" t="n">
        <v>-6.75</v>
      </c>
      <c r="I8" s="3" t="n">
        <v>34.0289219635298</v>
      </c>
    </row>
    <row r="9" customFormat="false" ht="13.8" hidden="false" customHeight="false" outlineLevel="0" collapsed="false">
      <c r="A9" s="0" t="n">
        <v>17</v>
      </c>
      <c r="B9" s="2" t="s">
        <v>16</v>
      </c>
      <c r="C9" s="3" t="n">
        <v>31.007</v>
      </c>
      <c r="D9" s="3" t="n">
        <v>0</v>
      </c>
      <c r="E9" s="3" t="n">
        <v>-17.75</v>
      </c>
      <c r="F9" s="3" t="n">
        <v>0</v>
      </c>
      <c r="G9" s="3" t="n">
        <v>11.691</v>
      </c>
      <c r="H9" s="3" t="n">
        <v>-6.75</v>
      </c>
      <c r="I9" s="3" t="n">
        <v>34.9158063060271</v>
      </c>
    </row>
    <row r="10" customFormat="false" ht="13.8" hidden="false" customHeight="false" outlineLevel="0" collapsed="false">
      <c r="A10" s="0" t="n">
        <v>16</v>
      </c>
      <c r="B10" s="2" t="s">
        <v>17</v>
      </c>
      <c r="C10" s="3" t="n">
        <v>31.007</v>
      </c>
      <c r="D10" s="3" t="n">
        <v>1.5</v>
      </c>
      <c r="E10" s="3" t="n">
        <v>-15.25</v>
      </c>
      <c r="F10" s="3" t="n">
        <v>0</v>
      </c>
      <c r="G10" s="3" t="n">
        <v>12.686</v>
      </c>
      <c r="H10" s="3" t="n">
        <v>-4.617</v>
      </c>
      <c r="I10" s="3" t="n">
        <v>34.6355501472115</v>
      </c>
    </row>
    <row r="11" customFormat="false" ht="13.8" hidden="false" customHeight="false" outlineLevel="0" collapsed="false">
      <c r="A11" s="0" t="n">
        <v>1</v>
      </c>
      <c r="B11" s="2" t="s">
        <v>18</v>
      </c>
      <c r="C11" s="3" t="n">
        <v>31.007</v>
      </c>
      <c r="D11" s="3" t="n">
        <v>3</v>
      </c>
      <c r="E11" s="3" t="n">
        <v>-17.75</v>
      </c>
      <c r="F11" s="3" t="n">
        <v>0</v>
      </c>
      <c r="G11" s="3" t="n">
        <v>13.295</v>
      </c>
      <c r="H11" s="3" t="n">
        <v>-2.344</v>
      </c>
      <c r="I11" s="3" t="n">
        <v>36.1215435716692</v>
      </c>
    </row>
    <row r="12" customFormat="false" ht="13.8" hidden="false" customHeight="false" outlineLevel="0" collapsed="false">
      <c r="A12" s="0" t="n">
        <v>14</v>
      </c>
      <c r="B12" s="2" t="s">
        <v>19</v>
      </c>
      <c r="C12" s="3" t="n">
        <v>31.007</v>
      </c>
      <c r="D12" s="3" t="n">
        <v>3</v>
      </c>
      <c r="E12" s="3" t="n">
        <v>-12.75</v>
      </c>
      <c r="F12" s="3" t="n">
        <v>0</v>
      </c>
      <c r="G12" s="3" t="n">
        <v>12.697</v>
      </c>
      <c r="H12" s="3" t="n">
        <v>-8.89</v>
      </c>
      <c r="I12" s="3" t="n">
        <v>32.7164401792127</v>
      </c>
    </row>
    <row r="13" customFormat="false" ht="13.8" hidden="false" customHeight="false" outlineLevel="0" collapsed="false">
      <c r="A13" s="0" t="n">
        <v>18</v>
      </c>
      <c r="B13" s="2" t="s">
        <v>20</v>
      </c>
      <c r="C13" s="3" t="n">
        <v>31.007</v>
      </c>
      <c r="D13" s="3" t="n">
        <v>4.5</v>
      </c>
      <c r="E13" s="3" t="n">
        <v>-15.25</v>
      </c>
      <c r="F13" s="3" t="n">
        <v>0</v>
      </c>
      <c r="G13" s="3" t="n">
        <v>14.048</v>
      </c>
      <c r="H13" s="3" t="n">
        <v>-6.551</v>
      </c>
      <c r="I13" s="3" t="n">
        <v>33.5897447742611</v>
      </c>
    </row>
    <row r="14" customFormat="false" ht="13.8" hidden="false" customHeight="false" outlineLevel="0" collapsed="false">
      <c r="A14" s="0" t="n">
        <v>5</v>
      </c>
      <c r="B14" s="2" t="s">
        <v>21</v>
      </c>
      <c r="C14" s="3" t="n">
        <v>31.007</v>
      </c>
      <c r="D14" s="3" t="n">
        <v>13.5</v>
      </c>
      <c r="E14" s="3" t="n">
        <v>-10.25</v>
      </c>
      <c r="F14" s="3" t="n">
        <v>0</v>
      </c>
      <c r="G14" s="3" t="n">
        <v>14.972</v>
      </c>
      <c r="H14" s="3" t="n">
        <v>-4.012</v>
      </c>
      <c r="I14" s="3" t="n">
        <v>31.6624932214758</v>
      </c>
    </row>
    <row r="15" customFormat="false" ht="13.8" hidden="false" customHeight="false" outlineLevel="0" collapsed="false">
      <c r="A15" s="0" t="n">
        <v>13</v>
      </c>
      <c r="B15" s="2" t="s">
        <v>22</v>
      </c>
      <c r="C15" s="3" t="n">
        <v>31.007</v>
      </c>
      <c r="D15" s="3" t="n">
        <v>19</v>
      </c>
      <c r="E15" s="3" t="n">
        <v>-17</v>
      </c>
      <c r="F15" s="3" t="n">
        <v>0</v>
      </c>
      <c r="G15" s="3" t="n">
        <v>15.441</v>
      </c>
      <c r="H15" s="3" t="n">
        <v>-1.351</v>
      </c>
      <c r="I15" s="3" t="n">
        <v>34.9140620810584</v>
      </c>
    </row>
    <row r="16" customFormat="false" ht="13.8" hidden="false" customHeight="false" outlineLevel="0" collapsed="false">
      <c r="A16" s="0" t="n">
        <v>12</v>
      </c>
      <c r="B16" s="2" t="s">
        <v>23</v>
      </c>
      <c r="C16" s="3" t="n">
        <v>31.007</v>
      </c>
      <c r="D16" s="3" t="n">
        <v>-18</v>
      </c>
      <c r="E16" s="3" t="n">
        <v>10.25</v>
      </c>
      <c r="F16" s="3" t="n">
        <v>0</v>
      </c>
      <c r="G16" s="3" t="n">
        <v>-14.972</v>
      </c>
      <c r="H16" s="3" t="n">
        <v>4.012</v>
      </c>
      <c r="I16" s="3" t="n">
        <v>31.7728732883886</v>
      </c>
    </row>
    <row r="17" customFormat="false" ht="13.8" hidden="false" customHeight="false" outlineLevel="0" collapsed="false">
      <c r="A17" s="0" t="n">
        <v>6</v>
      </c>
      <c r="B17" s="2" t="s">
        <v>24</v>
      </c>
      <c r="C17" s="3" t="n">
        <v>31.007</v>
      </c>
      <c r="D17" s="3" t="n">
        <v>-15.38</v>
      </c>
      <c r="E17" s="3" t="n">
        <v>11.326</v>
      </c>
      <c r="F17" s="3" t="n">
        <v>0</v>
      </c>
      <c r="G17" s="3" t="n">
        <v>-15.441</v>
      </c>
      <c r="H17" s="3" t="n">
        <v>1.351</v>
      </c>
      <c r="I17" s="3" t="n">
        <v>32.5720492907646</v>
      </c>
    </row>
    <row r="18" customFormat="false" ht="13.8" hidden="false" customHeight="false" outlineLevel="0" collapsed="false">
      <c r="A18" s="0" t="n">
        <v>25</v>
      </c>
      <c r="B18" s="2" t="s">
        <v>25</v>
      </c>
      <c r="C18" s="3" t="n">
        <v>31.007</v>
      </c>
      <c r="D18" s="3" t="n">
        <v>-10</v>
      </c>
      <c r="E18" s="3" t="n">
        <v>15</v>
      </c>
      <c r="F18" s="3" t="n">
        <v>0</v>
      </c>
      <c r="G18" s="3" t="n">
        <v>-12.697</v>
      </c>
      <c r="H18" s="3" t="n">
        <v>8.89</v>
      </c>
      <c r="I18" s="3" t="n">
        <v>31.7181329526188</v>
      </c>
    </row>
    <row r="19" customFormat="false" ht="13.8" hidden="false" customHeight="false" outlineLevel="0" collapsed="false">
      <c r="A19" s="0" t="n">
        <v>7</v>
      </c>
      <c r="B19" s="2" t="s">
        <v>26</v>
      </c>
      <c r="C19" s="3" t="n">
        <v>31.007</v>
      </c>
      <c r="D19" s="3" t="n">
        <v>-11.569</v>
      </c>
      <c r="E19" s="3" t="n">
        <v>11.326</v>
      </c>
      <c r="F19" s="3" t="n">
        <v>0</v>
      </c>
      <c r="G19" s="3" t="n">
        <v>-14.048</v>
      </c>
      <c r="H19" s="3" t="n">
        <v>6.551</v>
      </c>
      <c r="I19" s="3" t="n">
        <v>31.4703052892723</v>
      </c>
    </row>
    <row r="20" customFormat="false" ht="13.8" hidden="false" customHeight="false" outlineLevel="0" collapsed="false">
      <c r="A20" s="0" t="n">
        <v>24</v>
      </c>
      <c r="B20" s="2" t="s">
        <v>27</v>
      </c>
      <c r="C20" s="3" t="n">
        <v>31.007</v>
      </c>
      <c r="D20" s="3" t="n">
        <v>-6.121</v>
      </c>
      <c r="E20" s="3" t="n">
        <v>14.837</v>
      </c>
      <c r="F20" s="3" t="n">
        <v>0</v>
      </c>
      <c r="G20" s="3" t="n">
        <v>-13.295</v>
      </c>
      <c r="H20" s="3" t="n">
        <v>2.344</v>
      </c>
      <c r="I20" s="3" t="n">
        <v>34.1902818648808</v>
      </c>
    </row>
    <row r="21" customFormat="false" ht="13.8" hidden="false" customHeight="false" outlineLevel="0" collapsed="false">
      <c r="A21" s="0" t="n">
        <v>8</v>
      </c>
      <c r="B21" s="2" t="s">
        <v>28</v>
      </c>
      <c r="C21" s="3" t="n">
        <v>31.007</v>
      </c>
      <c r="D21" s="3" t="n">
        <v>-2.165</v>
      </c>
      <c r="E21" s="3" t="n">
        <v>11.326</v>
      </c>
      <c r="F21" s="3" t="n">
        <v>0</v>
      </c>
      <c r="G21" s="3" t="n">
        <v>-12.686</v>
      </c>
      <c r="H21" s="3" t="n">
        <v>4.617</v>
      </c>
      <c r="I21" s="3" t="n">
        <v>33.4235870456778</v>
      </c>
    </row>
    <row r="22" customFormat="false" ht="13.8" hidden="false" customHeight="false" outlineLevel="0" collapsed="false">
      <c r="A22" s="0" t="n">
        <v>23</v>
      </c>
      <c r="B22" s="2" t="s">
        <v>29</v>
      </c>
      <c r="C22" s="3" t="n">
        <v>31.007</v>
      </c>
      <c r="D22" s="3" t="n">
        <v>1.835</v>
      </c>
      <c r="E22" s="3" t="n">
        <v>11.326</v>
      </c>
      <c r="F22" s="3" t="n">
        <v>0</v>
      </c>
      <c r="G22" s="3" t="n">
        <v>-11.691</v>
      </c>
      <c r="H22" s="3" t="n">
        <v>6.75</v>
      </c>
      <c r="I22" s="3" t="n">
        <v>34.1368788995128</v>
      </c>
    </row>
    <row r="23" customFormat="false" ht="13.8" hidden="false" customHeight="false" outlineLevel="0" collapsed="false">
      <c r="A23" s="0" t="n">
        <v>9</v>
      </c>
      <c r="B23" s="2" t="s">
        <v>30</v>
      </c>
      <c r="C23" s="3" t="n">
        <v>31.007</v>
      </c>
      <c r="D23" s="3" t="n">
        <v>0.335</v>
      </c>
      <c r="E23" s="3" t="n">
        <v>14.779</v>
      </c>
      <c r="F23" s="3" t="n">
        <v>0</v>
      </c>
      <c r="G23" s="3" t="n">
        <v>11.691</v>
      </c>
      <c r="H23" s="3" t="n">
        <v>6.75</v>
      </c>
      <c r="I23" s="3" t="n">
        <v>33.9831962299016</v>
      </c>
    </row>
    <row r="24" customFormat="false" ht="13.8" hidden="false" customHeight="false" outlineLevel="0" collapsed="false">
      <c r="A24" s="0" t="n">
        <v>10</v>
      </c>
      <c r="B24" s="2" t="s">
        <v>31</v>
      </c>
      <c r="C24" s="3" t="n">
        <v>31.007</v>
      </c>
      <c r="D24" s="3" t="n">
        <v>5.61</v>
      </c>
      <c r="E24" s="3" t="n">
        <v>11.326</v>
      </c>
      <c r="F24" s="3" t="n">
        <v>0</v>
      </c>
      <c r="G24" s="3" t="n">
        <v>12.686</v>
      </c>
      <c r="H24" s="3" t="n">
        <v>4.617</v>
      </c>
      <c r="I24" s="3" t="n">
        <v>32.504069068349</v>
      </c>
    </row>
    <row r="25" customFormat="false" ht="13.8" hidden="false" customHeight="false" outlineLevel="0" collapsed="false">
      <c r="A25" s="0" t="n">
        <v>11</v>
      </c>
      <c r="B25" s="2" t="s">
        <v>32</v>
      </c>
      <c r="C25" s="3" t="n">
        <v>31.007</v>
      </c>
      <c r="D25" s="3" t="n">
        <v>7.36</v>
      </c>
      <c r="E25" s="3" t="n">
        <v>13.735</v>
      </c>
      <c r="F25" s="3" t="n">
        <v>0</v>
      </c>
      <c r="G25" s="3" t="n">
        <v>12.697</v>
      </c>
      <c r="H25" s="3" t="n">
        <v>8.89</v>
      </c>
      <c r="I25" s="3" t="n">
        <v>31.8338128881854</v>
      </c>
    </row>
    <row r="26" customFormat="false" ht="13.8" hidden="false" customHeight="false" outlineLevel="0" collapsed="false">
      <c r="A26" s="0" t="n">
        <v>22</v>
      </c>
      <c r="B26" s="2" t="s">
        <v>33</v>
      </c>
      <c r="C26" s="3" t="n">
        <v>31.007</v>
      </c>
      <c r="D26" s="3" t="n">
        <v>9.684</v>
      </c>
      <c r="E26" s="3" t="n">
        <v>11.326</v>
      </c>
      <c r="F26" s="3" t="n">
        <v>0</v>
      </c>
      <c r="G26" s="3" t="n">
        <v>13.295</v>
      </c>
      <c r="H26" s="3" t="n">
        <v>2.344</v>
      </c>
      <c r="I26" s="3" t="n">
        <v>32.4830678046271</v>
      </c>
    </row>
    <row r="27" customFormat="false" ht="13.8" hidden="false" customHeight="false" outlineLevel="0" collapsed="false">
      <c r="A27" s="0" t="n">
        <v>26</v>
      </c>
      <c r="B27" s="2" t="s">
        <v>34</v>
      </c>
      <c r="C27" s="3" t="n">
        <v>31.007</v>
      </c>
      <c r="D27" s="3" t="n">
        <v>11.078</v>
      </c>
      <c r="E27" s="3" t="n">
        <v>13.735</v>
      </c>
      <c r="F27" s="3" t="n">
        <v>0</v>
      </c>
      <c r="G27" s="3" t="n">
        <v>14.048</v>
      </c>
      <c r="H27" s="3" t="n">
        <v>6.551</v>
      </c>
      <c r="I27" s="3" t="n">
        <v>31.9666201685446</v>
      </c>
    </row>
    <row r="28" customFormat="false" ht="13.8" hidden="false" customHeight="false" outlineLevel="0" collapsed="false">
      <c r="A28" s="0" t="n">
        <v>21</v>
      </c>
      <c r="B28" s="2" t="s">
        <v>35</v>
      </c>
      <c r="C28" s="3" t="n">
        <v>31.007</v>
      </c>
      <c r="D28" s="3" t="n">
        <v>12.635</v>
      </c>
      <c r="E28" s="3" t="n">
        <v>11.326</v>
      </c>
      <c r="F28" s="3" t="n">
        <v>0</v>
      </c>
      <c r="G28" s="3" t="n">
        <v>14.972</v>
      </c>
      <c r="H28" s="3" t="n">
        <v>4.012</v>
      </c>
      <c r="I28" s="3" t="n">
        <v>31.9435472983199</v>
      </c>
    </row>
    <row r="29" customFormat="false" ht="13.8" hidden="false" customHeight="false" outlineLevel="0" collapsed="false">
      <c r="A29" s="0" t="n">
        <v>20</v>
      </c>
      <c r="B29" s="2" t="s">
        <v>36</v>
      </c>
      <c r="C29" s="3" t="n">
        <v>31.007</v>
      </c>
      <c r="D29" s="3" t="n">
        <v>19</v>
      </c>
      <c r="E29" s="3" t="n">
        <v>11.326</v>
      </c>
      <c r="F29" s="3" t="n">
        <v>0</v>
      </c>
      <c r="G29" s="3" t="n">
        <v>15.441</v>
      </c>
      <c r="H29" s="3" t="n">
        <v>1.351</v>
      </c>
      <c r="I29" s="3" t="n">
        <v>32.7658534910965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ns1:id="rId1"/>
  </tableParts>
</worksheet>
</file>

<file path=xl/worksheets/sheet2.xml><?xml version="1.0" encoding="utf-8"?>
<worksheet xmlns="http://schemas.openxmlformats.org/spreadsheetml/2006/main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3" activeCellId="0" sqref="N43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48.01"/>
    <col collapsed="false" customWidth="true" hidden="false" outlineLevel="0" max="2" min="2" style="0" width="14.76"/>
    <col collapsed="false" customWidth="true" hidden="false" outlineLevel="0" max="3" min="3" style="0" width="30.36"/>
    <col collapsed="false" customWidth="true" hidden="false" outlineLevel="0" max="7" min="4" style="0" width="17.51"/>
    <col collapsed="false" customWidth="true" hidden="false" outlineLevel="0" max="8" min="8" style="0" width="9.51"/>
    <col collapsed="false" customWidth="true" hidden="false" outlineLevel="0" max="9" min="9" style="0" width="9.85"/>
    <col collapsed="false" customWidth="true" hidden="false" outlineLevel="0" max="10" min="10" style="0" width="9.66"/>
    <col collapsed="false" customWidth="true" hidden="false" outlineLevel="0" max="11" min="11" style="0" width="9.51"/>
    <col collapsed="false" customWidth="true" hidden="false" outlineLevel="0" max="12" min="12" style="0" width="21.71"/>
    <col collapsed="false" customWidth="true" hidden="false" outlineLevel="0" max="13" min="13" style="0" width="7.64"/>
  </cols>
  <sheetData>
    <row r="1" customFormat="false" ht="15" hidden="false" customHeight="false" outlineLevel="0" collapsed="false">
      <c r="A1" s="4" t="s">
        <v>37</v>
      </c>
      <c r="B1" s="4"/>
      <c r="C1" s="4"/>
      <c r="D1" s="4"/>
      <c r="E1" s="4"/>
      <c r="F1" s="4"/>
      <c r="G1" s="4"/>
      <c r="H1" s="4"/>
    </row>
    <row r="3" customFormat="false" ht="15" hidden="false" customHeight="false" outlineLevel="0" collapsed="false">
      <c r="A3" s="5" t="s">
        <v>38</v>
      </c>
      <c r="B3" s="5" t="s">
        <v>39</v>
      </c>
      <c r="C3" s="5" t="s">
        <v>40</v>
      </c>
    </row>
    <row r="4" customFormat="false" ht="15" hidden="false" customHeight="false" outlineLevel="0" collapsed="false">
      <c r="A4" s="0" t="s">
        <v>41</v>
      </c>
      <c r="B4" s="6" t="n">
        <v>0</v>
      </c>
      <c r="C4" s="2" t="s">
        <v>42</v>
      </c>
    </row>
    <row r="5" customFormat="false" ht="15" hidden="false" customHeight="false" outlineLevel="0" collapsed="false">
      <c r="A5" s="0" t="s">
        <v>43</v>
      </c>
      <c r="B5" s="6" t="n">
        <v>0</v>
      </c>
      <c r="C5" s="2" t="s">
        <v>44</v>
      </c>
    </row>
    <row r="8" customFormat="false" ht="15" hidden="false" customHeight="false" outlineLevel="0" collapsed="false">
      <c r="A8" s="1" t="s">
        <v>0</v>
      </c>
      <c r="B8" s="1" t="s">
        <v>1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</row>
    <row r="9" customFormat="false" ht="15" hidden="false" customHeight="false" outlineLevel="0" collapsed="false">
      <c r="A9" s="0" t="n">
        <v>19</v>
      </c>
      <c r="B9" s="2" t="s">
        <v>9</v>
      </c>
      <c r="C9" s="0" t="s">
        <v>56</v>
      </c>
      <c r="D9" s="3" t="n">
        <v>-19.25</v>
      </c>
      <c r="E9" s="3" t="n">
        <v>-9.25</v>
      </c>
      <c r="F9" s="3" t="n">
        <v>-15.441</v>
      </c>
      <c r="G9" s="3" t="n">
        <v>-1.351</v>
      </c>
      <c r="H9" s="3" t="n">
        <f aca="false">16+7.01*COS($B$5)+E9*SIN($B$5)</f>
        <v>23.01</v>
      </c>
      <c r="I9" s="3" t="n">
        <f aca="false">7.997+H9*COS($B$4)-D9*SIN($B$4)</f>
        <v>31.007</v>
      </c>
      <c r="J9" s="3" t="n">
        <f aca="false">H9*SIN($B$4)+D9*COS($B$4)</f>
        <v>-19.25</v>
      </c>
      <c r="K9" s="3" t="n">
        <f aca="false">-7.01*SIN($B$5)+E9*COS($B$5)</f>
        <v>-9.25</v>
      </c>
      <c r="L9" s="3" t="n">
        <f aca="false">SQRT(I9^2+(J9-F9)^2+(K9-G9)^2)</f>
        <v>32.2232327831954</v>
      </c>
      <c r="M9" s="3" t="n">
        <f aca="false">L9-Coordinates!I2</f>
        <v>-7.105427357601E-015</v>
      </c>
    </row>
    <row r="10" customFormat="false" ht="15" hidden="false" customHeight="false" outlineLevel="0" collapsed="false">
      <c r="A10" s="0" t="n">
        <v>4</v>
      </c>
      <c r="B10" s="2" t="s">
        <v>10</v>
      </c>
      <c r="C10" s="0" t="s">
        <v>56</v>
      </c>
      <c r="D10" s="3" t="n">
        <v>-10</v>
      </c>
      <c r="E10" s="3" t="n">
        <v>-17</v>
      </c>
      <c r="F10" s="3" t="n">
        <v>-14.972</v>
      </c>
      <c r="G10" s="3" t="n">
        <v>-4.012</v>
      </c>
      <c r="H10" s="3" t="n">
        <f aca="false">16+7.01*COS($B$5)+E10*SIN($B$5)</f>
        <v>23.01</v>
      </c>
      <c r="I10" s="3" t="n">
        <f aca="false">7.997+H10*COS($B$4)-D10*SIN($B$4)</f>
        <v>31.007</v>
      </c>
      <c r="J10" s="3" t="n">
        <f aca="false">H10*SIN($B$4)+D10*COS($B$4)</f>
        <v>-10</v>
      </c>
      <c r="K10" s="3" t="n">
        <f aca="false">-7.01*SIN($B$5)+E10*COS($B$5)</f>
        <v>-17</v>
      </c>
      <c r="L10" s="3" t="n">
        <f aca="false">SQRT(I10^2+(J10-F10)^2+(K10-G10)^2)</f>
        <v>33.982980696225</v>
      </c>
      <c r="M10" s="3" t="n">
        <f aca="false">L10-Coordinates!I3</f>
        <v>0</v>
      </c>
    </row>
    <row r="11" customFormat="false" ht="15" hidden="false" customHeight="false" outlineLevel="0" collapsed="false">
      <c r="A11" s="0" t="n">
        <v>27</v>
      </c>
      <c r="B11" s="2" t="s">
        <v>11</v>
      </c>
      <c r="C11" s="0" t="s">
        <v>56</v>
      </c>
      <c r="D11" s="3" t="n">
        <v>-4.5</v>
      </c>
      <c r="E11" s="3" t="n">
        <v>-15.25</v>
      </c>
      <c r="F11" s="3" t="n">
        <v>-14.048</v>
      </c>
      <c r="G11" s="3" t="n">
        <v>-6.551</v>
      </c>
      <c r="H11" s="3" t="n">
        <f aca="false">16+7.01*COS($B$5)+E11*SIN($B$5)</f>
        <v>23.01</v>
      </c>
      <c r="I11" s="3" t="n">
        <f aca="false">7.997+H11*COS($B$4)-D11*SIN($B$4)</f>
        <v>31.007</v>
      </c>
      <c r="J11" s="3" t="n">
        <f aca="false">H11*SIN($B$4)+D11*COS($B$4)</f>
        <v>-4.5</v>
      </c>
      <c r="K11" s="3" t="n">
        <f aca="false">-7.01*SIN($B$5)+E11*COS($B$5)</f>
        <v>-15.25</v>
      </c>
      <c r="L11" s="3" t="n">
        <f aca="false">SQRT(I11^2+(J11-F11)^2+(K11-G11)^2)</f>
        <v>33.5897447742611</v>
      </c>
      <c r="M11" s="3" t="n">
        <f aca="false">L11-Coordinates!I4</f>
        <v>0</v>
      </c>
    </row>
    <row r="12" customFormat="false" ht="15" hidden="false" customHeight="false" outlineLevel="0" collapsed="false">
      <c r="A12" s="0" t="n">
        <v>28</v>
      </c>
      <c r="B12" s="2" t="s">
        <v>12</v>
      </c>
      <c r="C12" s="0" t="s">
        <v>56</v>
      </c>
      <c r="D12" s="3" t="n">
        <v>-3</v>
      </c>
      <c r="E12" s="3" t="n">
        <v>-12.75</v>
      </c>
      <c r="F12" s="3" t="n">
        <v>-13.295</v>
      </c>
      <c r="G12" s="3" t="n">
        <v>-2.344</v>
      </c>
      <c r="H12" s="3" t="n">
        <f aca="false">16+7.01*COS($B$5)+E12*SIN($B$5)</f>
        <v>23.01</v>
      </c>
      <c r="I12" s="3" t="n">
        <f aca="false">7.997+H12*COS($B$4)-D12*SIN($B$4)</f>
        <v>31.007</v>
      </c>
      <c r="J12" s="3" t="n">
        <f aca="false">H12*SIN($B$4)+D12*COS($B$4)</f>
        <v>-3</v>
      </c>
      <c r="K12" s="3" t="n">
        <f aca="false">-7.01*SIN($B$5)+E12*COS($B$5)</f>
        <v>-12.75</v>
      </c>
      <c r="L12" s="3" t="n">
        <f aca="false">SQRT(I12^2+(J12-F12)^2+(K12-G12)^2)</f>
        <v>34.2885682115775</v>
      </c>
      <c r="M12" s="3" t="n">
        <f aca="false">L12-Coordinates!I5</f>
        <v>0</v>
      </c>
    </row>
    <row r="13" customFormat="false" ht="15" hidden="false" customHeight="false" outlineLevel="0" collapsed="false">
      <c r="A13" s="0" t="n">
        <v>2</v>
      </c>
      <c r="B13" s="2" t="s">
        <v>13</v>
      </c>
      <c r="C13" s="0" t="s">
        <v>56</v>
      </c>
      <c r="D13" s="3" t="n">
        <v>-1.5</v>
      </c>
      <c r="E13" s="3" t="n">
        <v>-15.25</v>
      </c>
      <c r="F13" s="3" t="n">
        <v>-12.697</v>
      </c>
      <c r="G13" s="3" t="n">
        <v>-8.89</v>
      </c>
      <c r="H13" s="3" t="n">
        <f aca="false">16+7.01*COS($B$5)+E13*SIN($B$5)</f>
        <v>23.01</v>
      </c>
      <c r="I13" s="3" t="n">
        <f aca="false">7.997+H13*COS($B$4)-D13*SIN($B$4)</f>
        <v>31.007</v>
      </c>
      <c r="J13" s="3" t="n">
        <f aca="false">H13*SIN($B$4)+D13*COS($B$4)</f>
        <v>-1.5</v>
      </c>
      <c r="K13" s="3" t="n">
        <f aca="false">-7.01*SIN($B$5)+E13*COS($B$5)</f>
        <v>-15.25</v>
      </c>
      <c r="L13" s="3" t="n">
        <f aca="false">SQRT(I13^2+(J13-F13)^2+(K13-G13)^2)</f>
        <v>33.5746401023153</v>
      </c>
      <c r="M13" s="3" t="n">
        <f aca="false">L13-Coordinates!I6</f>
        <v>-7.105427357601E-015</v>
      </c>
    </row>
    <row r="14" customFormat="false" ht="15" hidden="false" customHeight="false" outlineLevel="0" collapsed="false">
      <c r="A14" s="0" t="n">
        <v>15</v>
      </c>
      <c r="B14" s="2" t="s">
        <v>14</v>
      </c>
      <c r="C14" s="0" t="s">
        <v>56</v>
      </c>
      <c r="D14" s="3" t="n">
        <v>0</v>
      </c>
      <c r="E14" s="3" t="n">
        <v>-12.75</v>
      </c>
      <c r="F14" s="3" t="n">
        <v>-12.686</v>
      </c>
      <c r="G14" s="3" t="n">
        <v>-4.617</v>
      </c>
      <c r="H14" s="3" t="n">
        <f aca="false">16+7.01*COS($B$5)+E14*SIN($B$5)</f>
        <v>23.01</v>
      </c>
      <c r="I14" s="3" t="n">
        <f aca="false">7.997+H14*COS($B$4)-D14*SIN($B$4)</f>
        <v>31.007</v>
      </c>
      <c r="J14" s="3" t="n">
        <f aca="false">H14*SIN($B$4)+D14*COS($B$4)</f>
        <v>0</v>
      </c>
      <c r="K14" s="3" t="n">
        <f aca="false">-7.01*SIN($B$5)+E14*COS($B$5)</f>
        <v>-12.75</v>
      </c>
      <c r="L14" s="3" t="n">
        <f aca="false">SQRT(I14^2+(J14-F14)^2+(K14-G14)^2)</f>
        <v>34.4748362432659</v>
      </c>
      <c r="M14" s="3" t="n">
        <f aca="false">L14-Coordinates!I7</f>
        <v>0</v>
      </c>
    </row>
    <row r="15" customFormat="false" ht="15" hidden="false" customHeight="false" outlineLevel="0" collapsed="false">
      <c r="A15" s="0" t="n">
        <v>3</v>
      </c>
      <c r="B15" s="2" t="s">
        <v>15</v>
      </c>
      <c r="C15" s="0" t="s">
        <v>56</v>
      </c>
      <c r="D15" s="3" t="n">
        <v>-3</v>
      </c>
      <c r="E15" s="3" t="n">
        <v>-17.75</v>
      </c>
      <c r="F15" s="3" t="n">
        <v>-11.691</v>
      </c>
      <c r="G15" s="3" t="n">
        <v>-6.75</v>
      </c>
      <c r="H15" s="3" t="n">
        <f aca="false">16+7.01*COS($B$5)+E15*SIN($B$5)</f>
        <v>23.01</v>
      </c>
      <c r="I15" s="3" t="n">
        <f aca="false">7.997+H15*COS($B$4)-D15*SIN($B$4)</f>
        <v>31.007</v>
      </c>
      <c r="J15" s="3" t="n">
        <f aca="false">H15*SIN($B$4)+D15*COS($B$4)</f>
        <v>-3</v>
      </c>
      <c r="K15" s="3" t="n">
        <f aca="false">-7.01*SIN($B$5)+E15*COS($B$5)</f>
        <v>-17.75</v>
      </c>
      <c r="L15" s="3" t="n">
        <f aca="false">SQRT(I15^2+(J15-F15)^2+(K15-G15)^2)</f>
        <v>34.0289219635298</v>
      </c>
      <c r="M15" s="3" t="n">
        <f aca="false">L15-Coordinates!I8</f>
        <v>0</v>
      </c>
    </row>
    <row r="16" customFormat="false" ht="15" hidden="false" customHeight="false" outlineLevel="0" collapsed="false">
      <c r="A16" s="0" t="n">
        <v>17</v>
      </c>
      <c r="B16" s="2" t="s">
        <v>16</v>
      </c>
      <c r="C16" s="0" t="s">
        <v>56</v>
      </c>
      <c r="D16" s="3" t="n">
        <v>0</v>
      </c>
      <c r="E16" s="3" t="n">
        <v>-17.75</v>
      </c>
      <c r="F16" s="3" t="n">
        <v>11.691</v>
      </c>
      <c r="G16" s="3" t="n">
        <v>-6.75</v>
      </c>
      <c r="H16" s="3" t="n">
        <f aca="false">16+7.01*COS($B$5)+E16*SIN($B$5)</f>
        <v>23.01</v>
      </c>
      <c r="I16" s="3" t="n">
        <f aca="false">7.997+H16*COS($B$4)-D16*SIN($B$4)</f>
        <v>31.007</v>
      </c>
      <c r="J16" s="3" t="n">
        <f aca="false">H16*SIN($B$4)+D16*COS($B$4)</f>
        <v>0</v>
      </c>
      <c r="K16" s="3" t="n">
        <f aca="false">-7.01*SIN($B$5)+E16*COS($B$5)</f>
        <v>-17.75</v>
      </c>
      <c r="L16" s="3" t="n">
        <f aca="false">SQRT(I16^2+(J16-F16)^2+(K16-G16)^2)</f>
        <v>34.9158063060271</v>
      </c>
      <c r="M16" s="3" t="n">
        <f aca="false">L16-Coordinates!I9</f>
        <v>0</v>
      </c>
    </row>
    <row r="17" customFormat="false" ht="15" hidden="false" customHeight="false" outlineLevel="0" collapsed="false">
      <c r="A17" s="0" t="n">
        <v>16</v>
      </c>
      <c r="B17" s="2" t="s">
        <v>17</v>
      </c>
      <c r="C17" s="0" t="s">
        <v>56</v>
      </c>
      <c r="D17" s="3" t="n">
        <v>1.5</v>
      </c>
      <c r="E17" s="3" t="n">
        <v>-15.25</v>
      </c>
      <c r="F17" s="3" t="n">
        <v>12.686</v>
      </c>
      <c r="G17" s="3" t="n">
        <v>-4.617</v>
      </c>
      <c r="H17" s="3" t="n">
        <f aca="false">16+7.01*COS($B$5)+E17*SIN($B$5)</f>
        <v>23.01</v>
      </c>
      <c r="I17" s="3" t="n">
        <f aca="false">7.997+H17*COS($B$4)-D17*SIN($B$4)</f>
        <v>31.007</v>
      </c>
      <c r="J17" s="3" t="n">
        <f aca="false">H17*SIN($B$4)+D17*COS($B$4)</f>
        <v>1.5</v>
      </c>
      <c r="K17" s="3" t="n">
        <f aca="false">-7.01*SIN($B$5)+E17*COS($B$5)</f>
        <v>-15.25</v>
      </c>
      <c r="L17" s="3" t="n">
        <f aca="false">SQRT(I17^2+(J17-F17)^2+(K17-G17)^2)</f>
        <v>34.6355501472115</v>
      </c>
      <c r="M17" s="3" t="n">
        <f aca="false">L17-Coordinates!I10</f>
        <v>0</v>
      </c>
    </row>
    <row r="18" customFormat="false" ht="15" hidden="false" customHeight="false" outlineLevel="0" collapsed="false">
      <c r="A18" s="0" t="n">
        <v>1</v>
      </c>
      <c r="B18" s="2" t="s">
        <v>18</v>
      </c>
      <c r="C18" s="0" t="s">
        <v>56</v>
      </c>
      <c r="D18" s="3" t="n">
        <v>3</v>
      </c>
      <c r="E18" s="3" t="n">
        <v>-17.75</v>
      </c>
      <c r="F18" s="3" t="n">
        <v>13.295</v>
      </c>
      <c r="G18" s="3" t="n">
        <v>-2.344</v>
      </c>
      <c r="H18" s="3" t="n">
        <f aca="false">16+7.01*COS($B$5)+E18*SIN($B$5)</f>
        <v>23.01</v>
      </c>
      <c r="I18" s="3" t="n">
        <f aca="false">7.997+H18*COS($B$4)-D18*SIN($B$4)</f>
        <v>31.007</v>
      </c>
      <c r="J18" s="3" t="n">
        <f aca="false">H18*SIN($B$4)+D18*COS($B$4)</f>
        <v>3</v>
      </c>
      <c r="K18" s="3" t="n">
        <f aca="false">-7.01*SIN($B$5)+E18*COS($B$5)</f>
        <v>-17.75</v>
      </c>
      <c r="L18" s="3" t="n">
        <f aca="false">SQRT(I18^2+(J18-F18)^2+(K18-G18)^2)</f>
        <v>36.1215435716692</v>
      </c>
      <c r="M18" s="3" t="n">
        <f aca="false">L18-Coordinates!I11</f>
        <v>0</v>
      </c>
    </row>
    <row r="19" customFormat="false" ht="15" hidden="false" customHeight="false" outlineLevel="0" collapsed="false">
      <c r="A19" s="0" t="n">
        <v>14</v>
      </c>
      <c r="B19" s="2" t="s">
        <v>19</v>
      </c>
      <c r="C19" s="0" t="s">
        <v>56</v>
      </c>
      <c r="D19" s="3" t="n">
        <v>3</v>
      </c>
      <c r="E19" s="3" t="n">
        <v>-12.75</v>
      </c>
      <c r="F19" s="3" t="n">
        <v>12.697</v>
      </c>
      <c r="G19" s="3" t="n">
        <v>-8.89</v>
      </c>
      <c r="H19" s="3" t="n">
        <f aca="false">16+7.01*COS($B$5)+E19*SIN($B$5)</f>
        <v>23.01</v>
      </c>
      <c r="I19" s="3" t="n">
        <f aca="false">7.997+H19*COS($B$4)-D19*SIN($B$4)</f>
        <v>31.007</v>
      </c>
      <c r="J19" s="3" t="n">
        <f aca="false">H19*SIN($B$4)+D19*COS($B$4)</f>
        <v>3</v>
      </c>
      <c r="K19" s="3" t="n">
        <f aca="false">-7.01*SIN($B$5)+E19*COS($B$5)</f>
        <v>-12.75</v>
      </c>
      <c r="L19" s="3" t="n">
        <f aca="false">SQRT(I19^2+(J19-F19)^2+(K19-G19)^2)</f>
        <v>32.7164401792126</v>
      </c>
      <c r="M19" s="3" t="n">
        <f aca="false">L19-Coordinates!I12</f>
        <v>-7.105427357601E-015</v>
      </c>
    </row>
    <row r="20" customFormat="false" ht="15" hidden="false" customHeight="false" outlineLevel="0" collapsed="false">
      <c r="A20" s="0" t="n">
        <v>18</v>
      </c>
      <c r="B20" s="2" t="s">
        <v>20</v>
      </c>
      <c r="C20" s="0" t="s">
        <v>56</v>
      </c>
      <c r="D20" s="3" t="n">
        <v>4.5</v>
      </c>
      <c r="E20" s="3" t="n">
        <v>-15.25</v>
      </c>
      <c r="F20" s="3" t="n">
        <v>14.048</v>
      </c>
      <c r="G20" s="3" t="n">
        <v>-6.551</v>
      </c>
      <c r="H20" s="3" t="n">
        <f aca="false">16+7.01*COS($B$5)+E20*SIN($B$5)</f>
        <v>23.01</v>
      </c>
      <c r="I20" s="3" t="n">
        <f aca="false">7.997+H20*COS($B$4)-D20*SIN($B$4)</f>
        <v>31.007</v>
      </c>
      <c r="J20" s="3" t="n">
        <f aca="false">H20*SIN($B$4)+D20*COS($B$4)</f>
        <v>4.5</v>
      </c>
      <c r="K20" s="3" t="n">
        <f aca="false">-7.01*SIN($B$5)+E20*COS($B$5)</f>
        <v>-15.25</v>
      </c>
      <c r="L20" s="3" t="n">
        <f aca="false">SQRT(I20^2+(J20-F20)^2+(K20-G20)^2)</f>
        <v>33.5897447742611</v>
      </c>
      <c r="M20" s="3" t="n">
        <f aca="false">L20-Coordinates!I13</f>
        <v>0</v>
      </c>
    </row>
    <row r="21" customFormat="false" ht="15" hidden="false" customHeight="false" outlineLevel="0" collapsed="false">
      <c r="A21" s="0" t="n">
        <v>5</v>
      </c>
      <c r="B21" s="2" t="s">
        <v>21</v>
      </c>
      <c r="C21" s="0" t="s">
        <v>56</v>
      </c>
      <c r="D21" s="3" t="n">
        <v>13.5</v>
      </c>
      <c r="E21" s="3" t="n">
        <v>-10.25</v>
      </c>
      <c r="F21" s="3" t="n">
        <v>14.972</v>
      </c>
      <c r="G21" s="3" t="n">
        <v>-4.012</v>
      </c>
      <c r="H21" s="3" t="n">
        <f aca="false">16+7.01*COS($B$5)+E21*SIN($B$5)</f>
        <v>23.01</v>
      </c>
      <c r="I21" s="3" t="n">
        <f aca="false">7.997+H21*COS($B$4)-D21*SIN($B$4)</f>
        <v>31.007</v>
      </c>
      <c r="J21" s="3" t="n">
        <f aca="false">H21*SIN($B$4)+D21*COS($B$4)</f>
        <v>13.5</v>
      </c>
      <c r="K21" s="3" t="n">
        <f aca="false">-7.01*SIN($B$5)+E21*COS($B$5)</f>
        <v>-10.25</v>
      </c>
      <c r="L21" s="3" t="n">
        <f aca="false">SQRT(I21^2+(J21-F21)^2+(K21-G21)^2)</f>
        <v>31.6624932214758</v>
      </c>
      <c r="M21" s="3" t="n">
        <f aca="false">L21-Coordinates!I14</f>
        <v>-3.5527136788005E-015</v>
      </c>
    </row>
    <row r="22" customFormat="false" ht="15" hidden="false" customHeight="false" outlineLevel="0" collapsed="false">
      <c r="A22" s="0" t="n">
        <v>13</v>
      </c>
      <c r="B22" s="2" t="s">
        <v>22</v>
      </c>
      <c r="C22" s="0" t="s">
        <v>56</v>
      </c>
      <c r="D22" s="3" t="n">
        <v>19</v>
      </c>
      <c r="E22" s="3" t="n">
        <v>-17</v>
      </c>
      <c r="F22" s="3" t="n">
        <v>15.441</v>
      </c>
      <c r="G22" s="3" t="n">
        <v>-1.351</v>
      </c>
      <c r="H22" s="3" t="n">
        <f aca="false">16+7.01*COS($B$5)+E22*SIN($B$5)</f>
        <v>23.01</v>
      </c>
      <c r="I22" s="3" t="n">
        <f aca="false">7.997+H22*COS($B$4)-D22*SIN($B$4)</f>
        <v>31.007</v>
      </c>
      <c r="J22" s="3" t="n">
        <f aca="false">H22*SIN($B$4)+D22*COS($B$4)</f>
        <v>19</v>
      </c>
      <c r="K22" s="3" t="n">
        <f aca="false">-7.01*SIN($B$5)+E22*COS($B$5)</f>
        <v>-17</v>
      </c>
      <c r="L22" s="3" t="n">
        <f aca="false">SQRT(I22^2+(J22-F22)^2+(K22-G22)^2)</f>
        <v>34.9140620810584</v>
      </c>
      <c r="M22" s="3" t="n">
        <f aca="false">L22-Coordinates!I15</f>
        <v>-7.105427357601E-015</v>
      </c>
    </row>
    <row r="23" customFormat="false" ht="15" hidden="false" customHeight="false" outlineLevel="0" collapsed="false">
      <c r="A23" s="0" t="n">
        <v>12</v>
      </c>
      <c r="B23" s="2" t="s">
        <v>23</v>
      </c>
      <c r="C23" s="0" t="s">
        <v>57</v>
      </c>
      <c r="D23" s="3" t="n">
        <v>-18</v>
      </c>
      <c r="E23" s="3" t="n">
        <v>10.25</v>
      </c>
      <c r="F23" s="3" t="n">
        <v>-14.972</v>
      </c>
      <c r="G23" s="3" t="n">
        <v>4.012</v>
      </c>
      <c r="H23" s="3" t="n">
        <f aca="false">16+7.01*COS($B$5)+E23*SIN($B$5)</f>
        <v>23.01</v>
      </c>
      <c r="I23" s="3" t="n">
        <f aca="false">7.997+H23*COS($B$4)-D23*SIN($B$4)</f>
        <v>31.007</v>
      </c>
      <c r="J23" s="3" t="n">
        <f aca="false">H23*SIN($B$4)+D23*COS($B$4)</f>
        <v>-18</v>
      </c>
      <c r="K23" s="3" t="n">
        <f aca="false">-7.01*SIN($B$5)+E23*COS($B$5)</f>
        <v>10.25</v>
      </c>
      <c r="L23" s="3" t="n">
        <f aca="false">SQRT(I23^2+(J23-F23)^2+(K23-G23)^2)</f>
        <v>31.7728732883886</v>
      </c>
      <c r="M23" s="3" t="n">
        <f aca="false">L23-Coordinates!I16</f>
        <v>-3.5527136788005E-015</v>
      </c>
    </row>
    <row r="24" customFormat="false" ht="15" hidden="false" customHeight="false" outlineLevel="0" collapsed="false">
      <c r="A24" s="0" t="n">
        <v>6</v>
      </c>
      <c r="B24" s="2" t="s">
        <v>24</v>
      </c>
      <c r="C24" s="0" t="s">
        <v>57</v>
      </c>
      <c r="D24" s="3" t="n">
        <v>-15.38</v>
      </c>
      <c r="E24" s="3" t="n">
        <v>11.326</v>
      </c>
      <c r="F24" s="3" t="n">
        <v>-15.441</v>
      </c>
      <c r="G24" s="3" t="n">
        <v>1.351</v>
      </c>
      <c r="H24" s="3" t="n">
        <f aca="false">16+7.01*COS($B$5)+E24*SIN($B$5)</f>
        <v>23.01</v>
      </c>
      <c r="I24" s="3" t="n">
        <f aca="false">7.997+H24*COS($B$4)-D24*SIN($B$4)</f>
        <v>31.007</v>
      </c>
      <c r="J24" s="3" t="n">
        <f aca="false">H24*SIN($B$4)+D24*COS($B$4)</f>
        <v>-15.38</v>
      </c>
      <c r="K24" s="3" t="n">
        <f aca="false">-7.01*SIN($B$5)+E24*COS($B$5)</f>
        <v>11.326</v>
      </c>
      <c r="L24" s="3" t="n">
        <f aca="false">SQRT(I24^2+(J24-F24)^2+(K24-G24)^2)</f>
        <v>32.5720492907646</v>
      </c>
      <c r="M24" s="3" t="n">
        <f aca="false">L24-Coordinates!I17</f>
        <v>-7.105427357601E-015</v>
      </c>
    </row>
    <row r="25" customFormat="false" ht="15" hidden="false" customHeight="false" outlineLevel="0" collapsed="false">
      <c r="A25" s="0" t="n">
        <v>25</v>
      </c>
      <c r="B25" s="2" t="s">
        <v>25</v>
      </c>
      <c r="C25" s="0" t="s">
        <v>57</v>
      </c>
      <c r="D25" s="3" t="n">
        <v>-10</v>
      </c>
      <c r="E25" s="3" t="n">
        <v>15</v>
      </c>
      <c r="F25" s="3" t="n">
        <v>-12.697</v>
      </c>
      <c r="G25" s="3" t="n">
        <v>8.89</v>
      </c>
      <c r="H25" s="3" t="n">
        <f aca="false">16+7.01*COS($B$5)+E25*SIN($B$5)</f>
        <v>23.01</v>
      </c>
      <c r="I25" s="3" t="n">
        <f aca="false">7.997+H25*COS($B$4)-D25*SIN($B$4)</f>
        <v>31.007</v>
      </c>
      <c r="J25" s="3" t="n">
        <f aca="false">H25*SIN($B$4)+D25*COS($B$4)</f>
        <v>-10</v>
      </c>
      <c r="K25" s="3" t="n">
        <f aca="false">-7.01*SIN($B$5)+E25*COS($B$5)</f>
        <v>15</v>
      </c>
      <c r="L25" s="3" t="n">
        <f aca="false">SQRT(I25^2+(J25-F25)^2+(K25-G25)^2)</f>
        <v>31.7181329526188</v>
      </c>
      <c r="M25" s="3" t="n">
        <f aca="false">L25-Coordinates!I18</f>
        <v>-3.5527136788005E-015</v>
      </c>
    </row>
    <row r="26" customFormat="false" ht="15" hidden="false" customHeight="false" outlineLevel="0" collapsed="false">
      <c r="A26" s="0" t="n">
        <v>7</v>
      </c>
      <c r="B26" s="2" t="s">
        <v>26</v>
      </c>
      <c r="C26" s="0" t="s">
        <v>57</v>
      </c>
      <c r="D26" s="3" t="n">
        <v>-11.569</v>
      </c>
      <c r="E26" s="3" t="n">
        <v>11.326</v>
      </c>
      <c r="F26" s="3" t="n">
        <v>-14.048</v>
      </c>
      <c r="G26" s="3" t="n">
        <v>6.551</v>
      </c>
      <c r="H26" s="3" t="n">
        <f aca="false">16+7.01*COS($B$5)+E26*SIN($B$5)</f>
        <v>23.01</v>
      </c>
      <c r="I26" s="3" t="n">
        <f aca="false">7.997+H26*COS($B$4)-D26*SIN($B$4)</f>
        <v>31.007</v>
      </c>
      <c r="J26" s="3" t="n">
        <f aca="false">H26*SIN($B$4)+D26*COS($B$4)</f>
        <v>-11.569</v>
      </c>
      <c r="K26" s="3" t="n">
        <f aca="false">-7.01*SIN($B$5)+E26*COS($B$5)</f>
        <v>11.326</v>
      </c>
      <c r="L26" s="3" t="n">
        <f aca="false">SQRT(I26^2+(J26-F26)^2+(K26-G26)^2)</f>
        <v>31.4703052892723</v>
      </c>
      <c r="M26" s="3" t="n">
        <f aca="false">L26-Coordinates!I19</f>
        <v>-3.5527136788005E-015</v>
      </c>
    </row>
    <row r="27" customFormat="false" ht="15" hidden="false" customHeight="false" outlineLevel="0" collapsed="false">
      <c r="A27" s="0" t="n">
        <v>24</v>
      </c>
      <c r="B27" s="2" t="s">
        <v>27</v>
      </c>
      <c r="C27" s="0" t="s">
        <v>57</v>
      </c>
      <c r="D27" s="3" t="n">
        <v>-6.121</v>
      </c>
      <c r="E27" s="3" t="n">
        <v>14.837</v>
      </c>
      <c r="F27" s="3" t="n">
        <v>-13.295</v>
      </c>
      <c r="G27" s="3" t="n">
        <v>2.344</v>
      </c>
      <c r="H27" s="3" t="n">
        <f aca="false">16+7.01*COS($B$5)+E27*SIN($B$5)</f>
        <v>23.01</v>
      </c>
      <c r="I27" s="3" t="n">
        <f aca="false">7.997+H27*COS($B$4)-D27*SIN($B$4)</f>
        <v>31.007</v>
      </c>
      <c r="J27" s="3" t="n">
        <f aca="false">H27*SIN($B$4)+D27*COS($B$4)</f>
        <v>-6.121</v>
      </c>
      <c r="K27" s="3" t="n">
        <f aca="false">-7.01*SIN($B$5)+E27*COS($B$5)</f>
        <v>14.837</v>
      </c>
      <c r="L27" s="3" t="n">
        <f aca="false">SQRT(I27^2+(J27-F27)^2+(K27-G27)^2)</f>
        <v>34.1902818648808</v>
      </c>
      <c r="M27" s="3" t="n">
        <f aca="false">L27-Coordinates!I20</f>
        <v>0</v>
      </c>
    </row>
    <row r="28" customFormat="false" ht="15" hidden="false" customHeight="false" outlineLevel="0" collapsed="false">
      <c r="A28" s="0" t="n">
        <v>8</v>
      </c>
      <c r="B28" s="2" t="s">
        <v>28</v>
      </c>
      <c r="C28" s="0" t="s">
        <v>57</v>
      </c>
      <c r="D28" s="3" t="n">
        <v>-2.165</v>
      </c>
      <c r="E28" s="3" t="n">
        <v>11.326</v>
      </c>
      <c r="F28" s="3" t="n">
        <v>-12.686</v>
      </c>
      <c r="G28" s="3" t="n">
        <v>4.617</v>
      </c>
      <c r="H28" s="3" t="n">
        <f aca="false">16+7.01*COS($B$5)+E28*SIN($B$5)</f>
        <v>23.01</v>
      </c>
      <c r="I28" s="3" t="n">
        <f aca="false">7.997+H28*COS($B$4)-D28*SIN($B$4)</f>
        <v>31.007</v>
      </c>
      <c r="J28" s="3" t="n">
        <f aca="false">H28*SIN($B$4)+D28*COS($B$4)</f>
        <v>-2.165</v>
      </c>
      <c r="K28" s="3" t="n">
        <f aca="false">-7.01*SIN($B$5)+E28*COS($B$5)</f>
        <v>11.326</v>
      </c>
      <c r="L28" s="3" t="n">
        <f aca="false">SQRT(I28^2+(J28-F28)^2+(K28-G28)^2)</f>
        <v>33.4235870456778</v>
      </c>
      <c r="M28" s="3" t="n">
        <f aca="false">L28-Coordinates!I21</f>
        <v>-7.105427357601E-015</v>
      </c>
    </row>
    <row r="29" customFormat="false" ht="15" hidden="false" customHeight="false" outlineLevel="0" collapsed="false">
      <c r="A29" s="0" t="n">
        <v>23</v>
      </c>
      <c r="B29" s="2" t="s">
        <v>29</v>
      </c>
      <c r="C29" s="0" t="s">
        <v>57</v>
      </c>
      <c r="D29" s="3" t="n">
        <v>1.835</v>
      </c>
      <c r="E29" s="3" t="n">
        <v>11.326</v>
      </c>
      <c r="F29" s="3" t="n">
        <v>-11.691</v>
      </c>
      <c r="G29" s="3" t="n">
        <v>6.75</v>
      </c>
      <c r="H29" s="3" t="n">
        <f aca="false">16+7.01*COS($B$5)+E29*SIN($B$5)</f>
        <v>23.01</v>
      </c>
      <c r="I29" s="3" t="n">
        <f aca="false">7.997+H29*COS($B$4)-D29*SIN($B$4)</f>
        <v>31.007</v>
      </c>
      <c r="J29" s="3" t="n">
        <f aca="false">H29*SIN($B$4)+D29*COS($B$4)</f>
        <v>1.835</v>
      </c>
      <c r="K29" s="3" t="n">
        <f aca="false">-7.01*SIN($B$5)+E29*COS($B$5)</f>
        <v>11.326</v>
      </c>
      <c r="L29" s="3" t="n">
        <f aca="false">SQRT(I29^2+(J29-F29)^2+(K29-G29)^2)</f>
        <v>34.1368788995128</v>
      </c>
      <c r="M29" s="3" t="n">
        <f aca="false">L29-Coordinates!I22</f>
        <v>0</v>
      </c>
    </row>
    <row r="30" customFormat="false" ht="15" hidden="false" customHeight="false" outlineLevel="0" collapsed="false">
      <c r="A30" s="0" t="n">
        <v>9</v>
      </c>
      <c r="B30" s="2" t="s">
        <v>30</v>
      </c>
      <c r="C30" s="0" t="s">
        <v>57</v>
      </c>
      <c r="D30" s="3" t="n">
        <v>0.335</v>
      </c>
      <c r="E30" s="3" t="n">
        <v>14.779</v>
      </c>
      <c r="F30" s="3" t="n">
        <v>11.691</v>
      </c>
      <c r="G30" s="3" t="n">
        <v>6.75</v>
      </c>
      <c r="H30" s="3" t="n">
        <f aca="false">16+7.01*COS($B$5)+E30*SIN($B$5)</f>
        <v>23.01</v>
      </c>
      <c r="I30" s="3" t="n">
        <f aca="false">7.997+H30*COS($B$4)-D30*SIN($B$4)</f>
        <v>31.007</v>
      </c>
      <c r="J30" s="3" t="n">
        <f aca="false">H30*SIN($B$4)+D30*COS($B$4)</f>
        <v>0.335</v>
      </c>
      <c r="K30" s="3" t="n">
        <f aca="false">-7.01*SIN($B$5)+E30*COS($B$5)</f>
        <v>14.779</v>
      </c>
      <c r="L30" s="3" t="n">
        <f aca="false">SQRT(I30^2+(J30-F30)^2+(K30-G30)^2)</f>
        <v>33.9831962299016</v>
      </c>
      <c r="M30" s="3" t="n">
        <f aca="false">L30-Coordinates!I23</f>
        <v>0</v>
      </c>
    </row>
    <row r="31" customFormat="false" ht="15" hidden="false" customHeight="false" outlineLevel="0" collapsed="false">
      <c r="A31" s="0" t="n">
        <v>10</v>
      </c>
      <c r="B31" s="2" t="s">
        <v>31</v>
      </c>
      <c r="C31" s="0" t="s">
        <v>57</v>
      </c>
      <c r="D31" s="3" t="n">
        <v>5.61</v>
      </c>
      <c r="E31" s="3" t="n">
        <v>11.326</v>
      </c>
      <c r="F31" s="3" t="n">
        <v>12.686</v>
      </c>
      <c r="G31" s="3" t="n">
        <v>4.617</v>
      </c>
      <c r="H31" s="3" t="n">
        <f aca="false">16+7.01*COS($B$5)+E31*SIN($B$5)</f>
        <v>23.01</v>
      </c>
      <c r="I31" s="3" t="n">
        <f aca="false">7.997+H31*COS($B$4)-D31*SIN($B$4)</f>
        <v>31.007</v>
      </c>
      <c r="J31" s="3" t="n">
        <f aca="false">H31*SIN($B$4)+D31*COS($B$4)</f>
        <v>5.61</v>
      </c>
      <c r="K31" s="3" t="n">
        <f aca="false">-7.01*SIN($B$5)+E31*COS($B$5)</f>
        <v>11.326</v>
      </c>
      <c r="L31" s="3" t="n">
        <f aca="false">SQRT(I31^2+(J31-F31)^2+(K31-G31)^2)</f>
        <v>32.504069068349</v>
      </c>
      <c r="M31" s="3" t="n">
        <f aca="false">L31-Coordinates!I24</f>
        <v>0</v>
      </c>
    </row>
    <row r="32" customFormat="false" ht="15" hidden="false" customHeight="false" outlineLevel="0" collapsed="false">
      <c r="A32" s="0" t="n">
        <v>11</v>
      </c>
      <c r="B32" s="2" t="s">
        <v>32</v>
      </c>
      <c r="C32" s="0" t="s">
        <v>57</v>
      </c>
      <c r="D32" s="3" t="n">
        <v>7.36</v>
      </c>
      <c r="E32" s="3" t="n">
        <v>13.735</v>
      </c>
      <c r="F32" s="3" t="n">
        <v>12.697</v>
      </c>
      <c r="G32" s="3" t="n">
        <v>8.89</v>
      </c>
      <c r="H32" s="3" t="n">
        <f aca="false">16+7.01*COS($B$5)+E32*SIN($B$5)</f>
        <v>23.01</v>
      </c>
      <c r="I32" s="3" t="n">
        <f aca="false">7.997+H32*COS($B$4)-D32*SIN($B$4)</f>
        <v>31.007</v>
      </c>
      <c r="J32" s="3" t="n">
        <f aca="false">H32*SIN($B$4)+D32*COS($B$4)</f>
        <v>7.36</v>
      </c>
      <c r="K32" s="3" t="n">
        <f aca="false">-7.01*SIN($B$5)+E32*COS($B$5)</f>
        <v>13.735</v>
      </c>
      <c r="L32" s="3" t="n">
        <f aca="false">SQRT(I32^2+(J32-F32)^2+(K32-G32)^2)</f>
        <v>31.8338128881854</v>
      </c>
      <c r="M32" s="3" t="n">
        <f aca="false">L32-Coordinates!I25</f>
        <v>-3.5527136788005E-015</v>
      </c>
    </row>
    <row r="33" customFormat="false" ht="15" hidden="false" customHeight="false" outlineLevel="0" collapsed="false">
      <c r="A33" s="0" t="n">
        <v>22</v>
      </c>
      <c r="B33" s="2" t="s">
        <v>33</v>
      </c>
      <c r="C33" s="0" t="s">
        <v>57</v>
      </c>
      <c r="D33" s="3" t="n">
        <v>9.684</v>
      </c>
      <c r="E33" s="3" t="n">
        <v>11.326</v>
      </c>
      <c r="F33" s="3" t="n">
        <v>13.295</v>
      </c>
      <c r="G33" s="3" t="n">
        <v>2.344</v>
      </c>
      <c r="H33" s="3" t="n">
        <f aca="false">16+7.01*COS($B$5)+E33*SIN($B$5)</f>
        <v>23.01</v>
      </c>
      <c r="I33" s="3" t="n">
        <f aca="false">7.997+H33*COS($B$4)-D33*SIN($B$4)</f>
        <v>31.007</v>
      </c>
      <c r="J33" s="3" t="n">
        <f aca="false">H33*SIN($B$4)+D33*COS($B$4)</f>
        <v>9.684</v>
      </c>
      <c r="K33" s="3" t="n">
        <f aca="false">-7.01*SIN($B$5)+E33*COS($B$5)</f>
        <v>11.326</v>
      </c>
      <c r="L33" s="3" t="n">
        <f aca="false">SQRT(I33^2+(J33-F33)^2+(K33-G33)^2)</f>
        <v>32.4830678046271</v>
      </c>
      <c r="M33" s="3" t="n">
        <f aca="false">L33-Coordinates!I26</f>
        <v>-7.105427357601E-015</v>
      </c>
    </row>
    <row r="34" customFormat="false" ht="15" hidden="false" customHeight="false" outlineLevel="0" collapsed="false">
      <c r="A34" s="0" t="n">
        <v>26</v>
      </c>
      <c r="B34" s="2" t="s">
        <v>34</v>
      </c>
      <c r="C34" s="0" t="s">
        <v>57</v>
      </c>
      <c r="D34" s="3" t="n">
        <v>11.078</v>
      </c>
      <c r="E34" s="3" t="n">
        <v>13.735</v>
      </c>
      <c r="F34" s="3" t="n">
        <v>14.048</v>
      </c>
      <c r="G34" s="3" t="n">
        <v>6.551</v>
      </c>
      <c r="H34" s="3" t="n">
        <f aca="false">16+7.01*COS($B$5)+E34*SIN($B$5)</f>
        <v>23.01</v>
      </c>
      <c r="I34" s="3" t="n">
        <f aca="false">7.997+H34*COS($B$4)-D34*SIN($B$4)</f>
        <v>31.007</v>
      </c>
      <c r="J34" s="3" t="n">
        <f aca="false">H34*SIN($B$4)+D34*COS($B$4)</f>
        <v>11.078</v>
      </c>
      <c r="K34" s="3" t="n">
        <f aca="false">-7.01*SIN($B$5)+E34*COS($B$5)</f>
        <v>13.735</v>
      </c>
      <c r="L34" s="3" t="n">
        <f aca="false">SQRT(I34^2+(J34-F34)^2+(K34-G34)^2)</f>
        <v>31.9666201685446</v>
      </c>
      <c r="M34" s="3" t="n">
        <f aca="false">L34-Coordinates!I27</f>
        <v>-3.5527136788005E-015</v>
      </c>
    </row>
    <row r="35" customFormat="false" ht="15" hidden="false" customHeight="false" outlineLevel="0" collapsed="false">
      <c r="A35" s="0" t="n">
        <v>21</v>
      </c>
      <c r="B35" s="2" t="s">
        <v>35</v>
      </c>
      <c r="C35" s="0" t="s">
        <v>57</v>
      </c>
      <c r="D35" s="3" t="n">
        <v>12.635</v>
      </c>
      <c r="E35" s="3" t="n">
        <v>11.326</v>
      </c>
      <c r="F35" s="3" t="n">
        <v>14.972</v>
      </c>
      <c r="G35" s="3" t="n">
        <v>4.012</v>
      </c>
      <c r="H35" s="3" t="n">
        <f aca="false">16+7.01*COS($B$5)+E35*SIN($B$5)</f>
        <v>23.01</v>
      </c>
      <c r="I35" s="3" t="n">
        <f aca="false">7.997+H35*COS($B$4)-D35*SIN($B$4)</f>
        <v>31.007</v>
      </c>
      <c r="J35" s="3" t="n">
        <f aca="false">H35*SIN($B$4)+D35*COS($B$4)</f>
        <v>12.635</v>
      </c>
      <c r="K35" s="3" t="n">
        <f aca="false">-7.01*SIN($B$5)+E35*COS($B$5)</f>
        <v>11.326</v>
      </c>
      <c r="L35" s="3" t="n">
        <f aca="false">SQRT(I35^2+(J35-F35)^2+(K35-G35)^2)</f>
        <v>31.9435472983199</v>
      </c>
      <c r="M35" s="3" t="n">
        <f aca="false">L35-Coordinates!I28</f>
        <v>-3.5527136788005E-015</v>
      </c>
    </row>
    <row r="36" customFormat="false" ht="15" hidden="false" customHeight="false" outlineLevel="0" collapsed="false">
      <c r="A36" s="0" t="n">
        <v>20</v>
      </c>
      <c r="B36" s="2" t="s">
        <v>36</v>
      </c>
      <c r="C36" s="0" t="s">
        <v>57</v>
      </c>
      <c r="D36" s="3" t="n">
        <v>19</v>
      </c>
      <c r="E36" s="3" t="n">
        <v>11.326</v>
      </c>
      <c r="F36" s="3" t="n">
        <v>15.441</v>
      </c>
      <c r="G36" s="3" t="n">
        <v>1.351</v>
      </c>
      <c r="H36" s="3" t="n">
        <f aca="false">16+7.01*COS($B$5)+E36*SIN($B$5)</f>
        <v>23.01</v>
      </c>
      <c r="I36" s="3" t="n">
        <f aca="false">7.997+H36*COS($B$4)-D36*SIN($B$4)</f>
        <v>31.007</v>
      </c>
      <c r="J36" s="3" t="n">
        <f aca="false">H36*SIN($B$4)+D36*COS($B$4)</f>
        <v>19</v>
      </c>
      <c r="K36" s="3" t="n">
        <f aca="false">-7.01*SIN($B$5)+E36*COS($B$5)</f>
        <v>11.326</v>
      </c>
      <c r="L36" s="3" t="n">
        <f aca="false">SQRT(I36^2+(J36-F36)^2+(K36-G36)^2)</f>
        <v>32.7658534910965</v>
      </c>
      <c r="M36" s="3" t="n">
        <f aca="false">L36-Coordinates!I29</f>
        <v>-7.105427357601E-015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6.96"/>
    <col collapsed="false" customWidth="true" hidden="false" outlineLevel="0" max="7" min="2" style="0" width="8.75"/>
    <col collapsed="false" customWidth="true" hidden="false" outlineLevel="0" max="8" min="8" style="0" width="68.86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customFormat="false" ht="15" hidden="false" customHeight="false" outlineLevel="0" collapsed="false">
      <c r="A2" s="0" t="s">
        <v>66</v>
      </c>
      <c r="B2" s="3" t="n">
        <v>0</v>
      </c>
      <c r="C2" s="3" t="n">
        <v>0</v>
      </c>
      <c r="D2" s="3" t="n">
        <v>0</v>
      </c>
      <c r="E2" s="3"/>
      <c r="F2" s="3"/>
      <c r="G2" s="3"/>
      <c r="H2" s="2" t="s">
        <v>67</v>
      </c>
    </row>
    <row r="3" customFormat="false" ht="15" hidden="false" customHeight="false" outlineLevel="0" collapsed="false">
      <c r="A3" s="0" t="s">
        <v>68</v>
      </c>
      <c r="B3" s="3" t="n">
        <v>23.997</v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2" t="s">
        <v>69</v>
      </c>
    </row>
    <row r="4" customFormat="false" ht="15" hidden="false" customHeight="false" outlineLevel="0" collapsed="false">
      <c r="A4" s="0" t="s">
        <v>70</v>
      </c>
      <c r="B4" s="3" t="n">
        <v>7.997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1</v>
      </c>
      <c r="H4" s="2" t="s">
        <v>71</v>
      </c>
    </row>
    <row r="5" customFormat="false" ht="15" hidden="false" customHeight="false" outlineLevel="0" collapsed="false">
      <c r="A5" s="0" t="s">
        <v>72</v>
      </c>
      <c r="B5" s="3" t="n">
        <v>31.007</v>
      </c>
      <c r="C5" s="3"/>
      <c r="D5" s="3"/>
      <c r="E5" s="3"/>
      <c r="F5" s="3"/>
      <c r="G5" s="3"/>
      <c r="H5" s="2" t="s">
        <v>73</v>
      </c>
    </row>
    <row r="6" customFormat="false" ht="15" hidden="false" customHeight="false" outlineLevel="0" collapsed="false">
      <c r="A6" s="0" t="s">
        <v>74</v>
      </c>
      <c r="B6" s="3" t="n">
        <v>27.007</v>
      </c>
      <c r="C6" s="3"/>
      <c r="D6" s="3"/>
      <c r="E6" s="3"/>
      <c r="F6" s="3"/>
      <c r="G6" s="3"/>
      <c r="H6" s="2" t="s">
        <v>75</v>
      </c>
    </row>
    <row r="7" customFormat="false" ht="15" hidden="false" customHeight="false" outlineLevel="0" collapsed="false">
      <c r="A7" s="0" t="s">
        <v>76</v>
      </c>
      <c r="B7" s="3" t="n">
        <v>0</v>
      </c>
      <c r="C7" s="3"/>
      <c r="D7" s="3"/>
      <c r="E7" s="3"/>
      <c r="F7" s="3"/>
      <c r="G7" s="3"/>
      <c r="H7" s="2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C4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11" activeCellId="0" sqref="D1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38.2"/>
    <col collapsed="false" customWidth="true" hidden="false" outlineLevel="0" max="2" min="2" style="0" width="14.76"/>
    <col collapsed="false" customWidth="true" hidden="false" outlineLevel="0" max="3" min="3" style="0" width="144.78"/>
  </cols>
  <sheetData>
    <row r="1" customFormat="false" ht="15" hidden="false" customHeight="false" outlineLevel="0" collapsed="false">
      <c r="A1" s="7" t="s">
        <v>78</v>
      </c>
    </row>
    <row r="2" customFormat="false" ht="15" hidden="false" customHeight="false" outlineLevel="0" collapsed="false">
      <c r="A2" s="0" t="s">
        <v>79</v>
      </c>
    </row>
    <row r="3" customFormat="false" ht="15" hidden="false" customHeight="false" outlineLevel="0" collapsed="false">
      <c r="A3" s="0" t="s">
        <v>80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82</v>
      </c>
    </row>
    <row r="6" customFormat="false" ht="15" hidden="false" customHeight="false" outlineLevel="0" collapsed="false">
      <c r="A6" s="0" t="s">
        <v>83</v>
      </c>
    </row>
    <row r="7" customFormat="false" ht="15" hidden="false" customHeight="false" outlineLevel="0" collapsed="false">
      <c r="A7" s="0" t="s">
        <v>84</v>
      </c>
    </row>
    <row r="8" customFormat="false" ht="15" hidden="false" customHeight="false" outlineLevel="0" collapsed="false">
      <c r="A8" s="0" t="s">
        <v>85</v>
      </c>
    </row>
    <row r="10" customFormat="false" ht="15" hidden="false" customHeight="false" outlineLevel="0" collapsed="false">
      <c r="A10" s="7"/>
      <c r="B10" s="7"/>
      <c r="C10" s="7"/>
    </row>
    <row r="11" customFormat="false" ht="15" hidden="false" customHeight="false" outlineLevel="0" collapsed="false">
      <c r="A11" s="8" t="s">
        <v>0</v>
      </c>
      <c r="B11" s="9" t="s">
        <v>1</v>
      </c>
      <c r="C11" s="9" t="s">
        <v>86</v>
      </c>
    </row>
    <row r="12" customFormat="false" ht="64.9" hidden="false" customHeight="true" outlineLevel="0" collapsed="false">
      <c r="A12" s="8" t="n">
        <v>19</v>
      </c>
      <c r="B12" s="10" t="s">
        <v>9</v>
      </c>
      <c r="C12" s="9" t="inlineStr">
        <is>
          <t>A_19(β)=16.000+7.010*cosβ-9.250*sinβ; X_19=7.997+A_19(β)*cosα+19.250*sinα; Y_19=A_19(β)*sinα-19.250*cosα; Z_19=-7.010*sinβ-9.250*cosβ; L_19(α,β)=sqrt(X_19^2+(Y_19+15.441)^2+(Z_19+1.351)^2)</t>
        </is>
      </c>
    </row>
    <row r="13" customFormat="false" ht="64.9" hidden="false" customHeight="true" outlineLevel="0" collapsed="false">
      <c r="A13" s="8" t="n">
        <v>4</v>
      </c>
      <c r="B13" s="10" t="s">
        <v>10</v>
      </c>
      <c r="C13" s="9" t="inlineStr">
        <is>
          <t>A_4(β)=16.000+7.010*cosβ-17.000*sinβ; X_4=7.997+A_4(β)*cosα+10.000*sinα; Y_4=A_4(β)*sinα-10.000*cosα; Z_4=-7.010*sinβ-17.000*cosβ; L_4(α,β)=sqrt(X_4^2+(Y_4+14.972)^2+(Z_4+4.012)^2)</t>
        </is>
      </c>
    </row>
    <row r="14" customFormat="false" ht="64.9" hidden="false" customHeight="true" outlineLevel="0" collapsed="false">
      <c r="A14" s="8" t="n">
        <v>27</v>
      </c>
      <c r="B14" s="10" t="s">
        <v>11</v>
      </c>
      <c r="C14" s="9" t="inlineStr">
        <is>
          <t>A_27(β)=16.000+7.010*cosβ-15.250*sinβ; X_27=7.997+A_27(β)*cosα+4.500*sinα; Y_27=A_27(β)*sinα-4.500*cosα; Z_27=-7.010*sinβ-15.250*cosβ; L_27(α,β)=sqrt(X_27^2+(Y_27+14.048)^2+(Z_27+6.551)^2)</t>
        </is>
      </c>
    </row>
    <row r="15" customFormat="false" ht="64.9" hidden="false" customHeight="true" outlineLevel="0" collapsed="false">
      <c r="A15" s="8" t="n">
        <v>28</v>
      </c>
      <c r="B15" s="10" t="s">
        <v>12</v>
      </c>
      <c r="C15" s="9" t="s">
        <v>90</v>
      </c>
    </row>
    <row r="16" customFormat="false" ht="64.9" hidden="false" customHeight="true" outlineLevel="0" collapsed="false">
      <c r="A16" s="8" t="n">
        <v>2</v>
      </c>
      <c r="B16" s="10" t="s">
        <v>13</v>
      </c>
      <c r="C16" s="9" t="s">
        <v>91</v>
      </c>
    </row>
    <row r="17" customFormat="false" ht="64.9" hidden="false" customHeight="true" outlineLevel="0" collapsed="false">
      <c r="A17" s="8" t="n">
        <v>15</v>
      </c>
      <c r="B17" s="10" t="s">
        <v>14</v>
      </c>
      <c r="C17" s="9" t="s">
        <v>92</v>
      </c>
    </row>
    <row r="18" customFormat="false" ht="64.9" hidden="false" customHeight="true" outlineLevel="0" collapsed="false">
      <c r="A18" s="8" t="n">
        <v>3</v>
      </c>
      <c r="B18" s="10" t="s">
        <v>15</v>
      </c>
      <c r="C18" s="9" t="s">
        <v>93</v>
      </c>
    </row>
    <row r="19" customFormat="false" ht="64.9" hidden="false" customHeight="true" outlineLevel="0" collapsed="false">
      <c r="A19" s="8" t="n">
        <v>17</v>
      </c>
      <c r="B19" s="10" t="s">
        <v>16</v>
      </c>
      <c r="C19" s="9" t="inlineStr">
        <is>
          <t>A_17(β)=16.000+7.010*cosβ-17.750*sinβ; X_17=7.997+A_17(β)*cosα-0.000*sinα; Y_17=A_17(β)*sinα+0.000*cosα; Z_17=-7.010*sinβ-17.750*cosβ; L_17(α,β)=sqrt(X_17^2+(Y_17-11.691)^2+(Z_17+6.750)^2)</t>
        </is>
      </c>
    </row>
    <row r="20" customFormat="false" ht="64.9" hidden="false" customHeight="true" outlineLevel="0" collapsed="false">
      <c r="A20" s="8" t="n">
        <v>16</v>
      </c>
      <c r="B20" s="10" t="s">
        <v>17</v>
      </c>
      <c r="C20" s="9" t="s">
        <v>95</v>
      </c>
    </row>
    <row r="21" customFormat="false" ht="64.9" hidden="false" customHeight="true" outlineLevel="0" collapsed="false">
      <c r="A21" s="8" t="n">
        <v>1</v>
      </c>
      <c r="B21" s="10" t="s">
        <v>18</v>
      </c>
      <c r="C21" s="9" t="inlineStr">
        <is>
          <t>A_1(β)=16.000+7.010*cosβ-17.750*sinβ; X_1=7.997+A_1(β)*cosα-3.000*sinα; Y_1=A_1(β)*sinα+3.000*cosα; Z_1=-7.010*sinβ-17.750*cosβ; L_1(α,β)=sqrt(X_1^2+(Y_1-13.295)^2+(Z_1+2.344)^2)</t>
        </is>
      </c>
    </row>
    <row r="22" customFormat="false" ht="64.9" hidden="false" customHeight="true" outlineLevel="0" collapsed="false">
      <c r="A22" s="8" t="n">
        <v>14</v>
      </c>
      <c r="B22" s="10" t="s">
        <v>19</v>
      </c>
      <c r="C22" s="9" t="inlineStr">
        <is>
          <t>A_14(β)=16.000+7.010*cosβ-12.750*sinβ; X_14=7.997+A_14(β)*cosα-3.000*sinα; Y_14=A_14(β)*sinα+3.000*cosα; Z_14=-7.010*sinβ-12.750*cosβ; L_14(α,β)=sqrt(X_14^2+(Y_14-12.697)^2+(Z_14+8.890)^2)</t>
        </is>
      </c>
    </row>
    <row r="23" customFormat="false" ht="64.9" hidden="false" customHeight="true" outlineLevel="0" collapsed="false">
      <c r="A23" s="8" t="n">
        <v>18</v>
      </c>
      <c r="B23" s="10" t="s">
        <v>20</v>
      </c>
      <c r="C23" s="9" t="inlineStr">
        <is>
          <t>A_18(β)=16.000+7.010*cosβ-15.250*sinβ; X_18=7.997+A_18(β)*cosα-4.500*sinα; Y_18=A_18(β)*sinα+4.500*cosα; Z_18=-7.010*sinβ-15.250*cosβ; L_18(α,β)=sqrt(X_18^2+(Y_18-14.048)^2+(Z_18+6.551)^2)</t>
        </is>
      </c>
    </row>
    <row r="24" customFormat="false" ht="64.9" hidden="false" customHeight="true" outlineLevel="0" collapsed="false">
      <c r="A24" s="8" t="n">
        <v>5</v>
      </c>
      <c r="B24" s="10" t="s">
        <v>21</v>
      </c>
      <c r="C24" s="9" t="inlineStr">
        <is>
          <t>A_5(β)=16.000+7.010*cosβ-10.250*sinβ; X_5=7.997+A_5(β)*cosα-13.500*sinα; Y_5=A_5(β)*sinα+13.500*cosα; Z_5=-7.010*sinβ-10.250*cosβ; L_5(α,β)=sqrt(X_5^2+(Y_5-14.972)^2+(Z_5+4.012)^2)</t>
        </is>
      </c>
    </row>
    <row r="25" customFormat="false" ht="64.9" hidden="false" customHeight="true" outlineLevel="0" collapsed="false">
      <c r="A25" s="8" t="n">
        <v>13</v>
      </c>
      <c r="B25" s="10" t="s">
        <v>22</v>
      </c>
      <c r="C25" s="9" t="inlineStr">
        <is>
          <t>A_13(β)=16.000+7.010*cosβ-17.000*sinβ; X_13=7.997+A_13(β)*cosα-19.000*sinα; Y_13=A_13(β)*sinα+19.000*cosα; Z_13=-7.010*sinβ-17.000*cosβ; L_13(α,β)=sqrt(X_13^2+(Y_13-15.441)^2+(Z_13+1.351)^2)</t>
        </is>
      </c>
    </row>
    <row r="26" customFormat="false" ht="64.9" hidden="false" customHeight="true" outlineLevel="0" collapsed="false">
      <c r="A26" s="8" t="n">
        <v>12</v>
      </c>
      <c r="B26" s="10" t="s">
        <v>23</v>
      </c>
      <c r="C26" s="9" t="inlineStr">
        <is>
          <t>A_12(β)=16.000+7.010*cosβ+10.250*sinβ; X_12=7.997+A_12(β)*cosα+18.000*sinα; Y_12=A_12(β)*sinα-18.000*cosα; Z_12=-7.010*sinβ+10.250*cosβ; L_12(α,β)=sqrt(X_12^2+(Y_12+14.972)^2+(Z_12-4.012)^2)</t>
        </is>
      </c>
    </row>
    <row r="27" customFormat="false" ht="64.9" hidden="false" customHeight="true" outlineLevel="0" collapsed="false">
      <c r="A27" s="8" t="n">
        <v>6</v>
      </c>
      <c r="B27" s="10" t="s">
        <v>24</v>
      </c>
      <c r="C27" s="9" t="inlineStr">
        <is>
          <t>A_6(β)=16.000+7.010*cosβ+11.326*sinβ; X_6=7.997+A_6(β)*cosα+15.380*sinα; Y_6=A_6(β)*sinα-15.380*cosα; Z_6=-7.010*sinβ+11.326*cosβ; L_6(α,β)=sqrt(X_6^2+(Y_6+15.441)^2+(Z_6-1.351)^2)</t>
        </is>
      </c>
    </row>
    <row r="28" customFormat="false" ht="64.9" hidden="false" customHeight="true" outlineLevel="0" collapsed="false">
      <c r="A28" s="8" t="n">
        <v>25</v>
      </c>
      <c r="B28" s="10" t="s">
        <v>25</v>
      </c>
      <c r="C28" s="9" t="inlineStr">
        <is>
          <t>A_25(β)=16.000+7.010*cosβ+15.000*sinβ; X_25=7.997+A_25(β)*cosα+10.000*sinα; Y_25=A_25(β)*sinα-10.000*cosα; Z_25=-7.010*sinβ+15.000*cosβ; L_25(α,β)=sqrt(X_25^2+(Y_25+12.697)^2+(Z_25-8.890)^2)</t>
        </is>
      </c>
    </row>
    <row r="29" customFormat="false" ht="64.9" hidden="false" customHeight="true" outlineLevel="0" collapsed="false">
      <c r="A29" s="8" t="n">
        <v>7</v>
      </c>
      <c r="B29" s="10" t="s">
        <v>26</v>
      </c>
      <c r="C29" s="9" t="inlineStr">
        <is>
          <t>A_7(β)=16.000+7.010*cosβ+11.326*sinβ; X_7=7.997+A_7(β)*cosα+11.569*sinα; Y_7=A_7(β)*sinα-11.569*cosα; Z_7=-7.010*sinβ+11.326*cosβ; L_7(α,β)=sqrt(X_7^2+(Y_7+14.048)^2+(Z_7-6.551)^2)</t>
        </is>
      </c>
    </row>
    <row r="30" customFormat="false" ht="64.9" hidden="false" customHeight="true" outlineLevel="0" collapsed="false">
      <c r="A30" s="8" t="n">
        <v>24</v>
      </c>
      <c r="B30" s="10" t="s">
        <v>27</v>
      </c>
      <c r="C30" s="9" t="inlineStr">
        <is>
          <t>A_24(β)=16.000+7.010*cosβ+14.837*sinβ; X_24=7.997+A_24(β)*cosα+6.121*sinα; Y_24=A_24(β)*sinα-6.121*cosα; Z_24=-7.010*sinβ+14.837*cosβ; L_24(α,β)=sqrt(X_24^2+(Y_24+13.295)^2+(Z_24-2.344)^2)</t>
        </is>
      </c>
    </row>
    <row r="31" customFormat="false" ht="64.9" hidden="false" customHeight="true" outlineLevel="0" collapsed="false">
      <c r="A31" s="8" t="n">
        <v>8</v>
      </c>
      <c r="B31" s="10" t="s">
        <v>28</v>
      </c>
      <c r="C31" s="9" t="s">
        <v>106</v>
      </c>
    </row>
    <row r="32" customFormat="false" ht="64.9" hidden="false" customHeight="true" outlineLevel="0" collapsed="false">
      <c r="A32" s="8" t="n">
        <v>23</v>
      </c>
      <c r="B32" s="10" t="s">
        <v>29</v>
      </c>
      <c r="C32" s="9" t="s">
        <v>107</v>
      </c>
    </row>
    <row r="33" customFormat="false" ht="64.9" hidden="false" customHeight="true" outlineLevel="0" collapsed="false">
      <c r="A33" s="8" t="n">
        <v>9</v>
      </c>
      <c r="B33" s="10" t="s">
        <v>30</v>
      </c>
      <c r="C33" s="9" t="s">
        <v>108</v>
      </c>
    </row>
    <row r="34" customFormat="false" ht="64.9" hidden="false" customHeight="true" outlineLevel="0" collapsed="false">
      <c r="A34" s="8" t="n">
        <v>10</v>
      </c>
      <c r="B34" s="10" t="s">
        <v>31</v>
      </c>
      <c r="C34" s="9" t="inlineStr">
        <is>
          <t>A_10(β)=16.000+7.010*cosβ+11.326*sinβ; X_10=7.997+A_10(β)*cosα-5.610*sinα; Y_10=A_10(β)*sinα+5.610*cosα; Z_10=-7.010*sinβ+11.326*cosβ; L_10(α,β)=sqrt(X_10^2+(Y_10-12.686)^2+(Z_10-4.617)^2)</t>
        </is>
      </c>
    </row>
    <row r="35" customFormat="false" ht="64.9" hidden="false" customHeight="true" outlineLevel="0" collapsed="false">
      <c r="A35" s="8" t="n">
        <v>11</v>
      </c>
      <c r="B35" s="10" t="s">
        <v>32</v>
      </c>
      <c r="C35" s="9" t="inlineStr">
        <is>
          <t>A_11(β)=16.000+7.010*cosβ+13.735*sinβ; X_11=7.997+A_11(β)*cosα-7.360*sinα; Y_11=A_11(β)*sinα+7.360*cosα; Z_11=-7.010*sinβ+13.735*cosβ; L_11(α,β)=sqrt(X_11^2+(Y_11-12.697)^2+(Z_11-8.890)^2)</t>
        </is>
      </c>
    </row>
    <row r="36" customFormat="false" ht="64.9" hidden="false" customHeight="true" outlineLevel="0" collapsed="false">
      <c r="A36" s="8" t="n">
        <v>22</v>
      </c>
      <c r="B36" s="10" t="s">
        <v>33</v>
      </c>
      <c r="C36" s="9" t="inlineStr">
        <is>
          <t>A_22(β)=16.000+7.010*cosβ+11.326*sinβ; X_22=7.997+A_22(β)*cosα-9.684*sinα; Y_22=A_22(β)*sinα+9.684*cosα; Z_22=-7.010*sinβ+11.326*cosβ; L_22(α,β)=sqrt(X_22^2+(Y_22-13.295)^2+(Z_22-2.344)^2)</t>
        </is>
      </c>
    </row>
    <row r="37" customFormat="false" ht="64.9" hidden="false" customHeight="true" outlineLevel="0" collapsed="false">
      <c r="A37" s="8" t="n">
        <v>26</v>
      </c>
      <c r="B37" s="10" t="s">
        <v>34</v>
      </c>
      <c r="C37" s="9" t="inlineStr">
        <is>
          <t>A_26(β)=16.000+7.010*cosβ+13.735*sinβ; X_26=7.997+A_26(β)*cosα-11.078*sinα; Y_26=A_26(β)*sinα+11.078*cosα; Z_26=-7.010*sinβ+13.735*cosβ; L_26(α,β)=sqrt(X_26^2+(Y_26-14.048)^2+(Z_26-6.551)^2)</t>
        </is>
      </c>
    </row>
    <row r="38" customFormat="false" ht="64.9" hidden="false" customHeight="true" outlineLevel="0" collapsed="false">
      <c r="A38" s="8" t="n">
        <v>21</v>
      </c>
      <c r="B38" s="10" t="s">
        <v>35</v>
      </c>
      <c r="C38" s="9" t="inlineStr">
        <is>
          <t>A_21(β)=16.000+7.010*cosβ+11.326*sinβ; X_21=7.997+A_21(β)*cosα-12.635*sinα; Y_21=A_21(β)*sinα+12.635*cosα; Z_21=-7.010*sinβ+11.326*cosβ; L_21(α,β)=sqrt(X_21^2+(Y_21-14.972)^2+(Z_21-4.012)^2)</t>
        </is>
      </c>
    </row>
    <row r="39" customFormat="false" ht="64.9" hidden="false" customHeight="true" outlineLevel="0" collapsed="false">
      <c r="A39" s="0" t="n">
        <v>20</v>
      </c>
      <c r="B39" s="2" t="s">
        <v>36</v>
      </c>
      <c r="C39" s="0" t="inlineStr">
        <is>
          <t>A_20(β)=16.000+7.010*cosβ+11.326*sinβ; X_20=7.997+A_20(β)*cosα-19.000*sinα; Y_20=A_20(β)*sinα+19.000*cosα; Z_20=-7.010*sinβ+11.326*cosβ; L_20(α,β)=sqrt(X_20^2+(Y_20-15.441)^2+(Z_20-1.351)^2)</t>
        </is>
      </c>
    </row>
    <row r="40" customFormat="false" ht="64.9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2026-05-20T17:43:01Z</dcterms:modified>
  <cp:revision>3</cp:revision>
  <dc:subject/>
  <dc:title/>
</cp:coreProperties>
</file>